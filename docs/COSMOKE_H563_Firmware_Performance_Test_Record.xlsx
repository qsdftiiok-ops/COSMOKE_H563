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efe7de319541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b76e2f56e304f4a"/>
    <x:sheet xmlns:r="http://schemas.openxmlformats.org/officeDocument/2006/relationships" name="Test Plan" sheetId="2" r:id="R84eb57ead8f0401b"/>
    <x:sheet xmlns:r="http://schemas.openxmlformats.org/officeDocument/2006/relationships" name="Test Log" sheetId="3" r:id="R66b8697567d34d45"/>
    <x:sheet xmlns:r="http://schemas.openxmlformats.org/officeDocument/2006/relationships" name="Tuning Profiles" sheetId="4" r:id="Rb25b39fb71a049f2"/>
    <x:sheet xmlns:r="http://schemas.openxmlformats.org/officeDocument/2006/relationships" name="Test Procedures" sheetId="5" r:id="Re4085fb988964699"/>
    <x:sheet xmlns:r="http://schemas.openxmlformats.org/officeDocument/2006/relationships" name="Capture History" sheetId="6" r:id="R871964fc51df43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  <x:numFmt numFmtId="206" formatCode="0.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72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2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  <x:xf numFmtId="0" fontId="1" fillId="48" borderId="0" xfId="0" applyNumberFormat="1" applyFont="1" applyFill="1" applyBorder="1" applyAlignment="1">
      <x:alignment horizontal="left" vertical="center"/>
    </x:xf>
    <x:xf numFmtId="0" fontId="6" fillId="49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4" fillId="50" borderId="10" xfId="0" applyNumberFormat="1" applyFont="1" applyFill="1" applyBorder="1" applyAlignment="1">
      <x:alignment vertical="top" wrapText="1"/>
    </x:xf>
    <x:xf numFmtId="0" fontId="4" fillId="51" borderId="10" xfId="0" applyNumberFormat="1" applyFont="1" applyFill="1" applyBorder="1" applyAlignment="1">
      <x:alignment vertical="top" wrapText="1"/>
    </x:xf>
    <x:xf numFmtId="0" fontId="4" fillId="52" borderId="10" xfId="0" applyNumberFormat="1" applyFont="1" applyFill="1" applyBorder="1" applyAlignment="1">
      <x:alignment vertical="top" wrapText="1"/>
    </x:xf>
    <x:xf numFmtId="0" fontId="3" fillId="53" borderId="0" xfId="0" applyNumberFormat="1" applyFont="1" applyFill="1" applyBorder="1"/>
    <x:xf numFmtId="0" fontId="3" fillId="48" borderId="10" xfId="0" applyNumberFormat="1" applyFont="1" applyFill="1" applyBorder="1"/>
    <x:xf numFmtId="0" fontId="4" fillId="51" borderId="10" xfId="0" applyNumberFormat="1" applyFont="1" applyFill="1" applyBorder="1"/>
    <x:xf numFmtId="0" fontId="0" fillId="53" borderId="0" xfId="0" applyNumberFormat="1" applyFont="1" applyFill="1" applyBorder="1"/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0" fillId="51" borderId="10" xfId="0" applyNumberFormat="1" applyFont="1" applyFill="1" applyBorder="1" applyAlignment="1">
      <x:alignment vertical="top" wrapText="1"/>
    </x:xf>
    <x:xf numFmtId="0" fontId="1" fillId="54" borderId="0" xfId="0" applyNumberFormat="1" applyFont="1" applyFill="1" applyBorder="1" applyAlignment="1">
      <x:alignment horizontal="left" vertical="center"/>
    </x:xf>
    <x:xf numFmtId="0" fontId="6" fillId="55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horizontal="center" wrapText="1"/>
    </x:xf>
    <x:xf numFmtId="0" fontId="4" fillId="56" borderId="10" xfId="0" applyNumberFormat="1" applyFont="1" applyFill="1" applyBorder="1" applyAlignment="1">
      <x:alignment vertical="top" wrapText="1"/>
    </x:xf>
    <x:xf numFmtId="0" fontId="4" fillId="57" borderId="10" xfId="0" applyNumberFormat="1" applyFont="1" applyFill="1" applyBorder="1" applyAlignment="1">
      <x:alignment vertical="top" wrapText="1"/>
    </x:xf>
    <x:xf numFmtId="0" fontId="4" fillId="58" borderId="10" xfId="0" applyNumberFormat="1" applyFont="1" applyFill="1" applyBorder="1" applyAlignment="1">
      <x:alignment vertical="top" wrapText="1"/>
    </x:xf>
    <x:xf numFmtId="0" fontId="3" fillId="59" borderId="0" xfId="0" applyNumberFormat="1" applyFont="1" applyFill="1" applyBorder="1"/>
    <x:xf numFmtId="0" fontId="3" fillId="54" borderId="10" xfId="0" applyNumberFormat="1" applyFont="1" applyFill="1" applyBorder="1"/>
    <x:xf numFmtId="0" fontId="4" fillId="57" borderId="10" xfId="0" applyNumberFormat="1" applyFont="1" applyFill="1" applyBorder="1"/>
    <x:xf numFmtId="0" fontId="1" fillId="60" borderId="0" xfId="0" applyNumberFormat="1" applyFont="1" applyFill="1" applyBorder="1" applyAlignment="1">
      <x:alignment horizontal="left" vertical="center"/>
    </x:xf>
    <x:xf numFmtId="0" fontId="6" fillId="61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horizontal="center" wrapText="1"/>
    </x:xf>
    <x:xf numFmtId="0" fontId="4" fillId="62" borderId="10" xfId="0" applyNumberFormat="1" applyFont="1" applyFill="1" applyBorder="1" applyAlignment="1">
      <x:alignment vertical="top" wrapText="1"/>
    </x:xf>
    <x:xf numFmtId="0" fontId="4" fillId="63" borderId="10" xfId="0" applyNumberFormat="1" applyFont="1" applyFill="1" applyBorder="1" applyAlignment="1">
      <x:alignment vertical="top" wrapText="1"/>
    </x:xf>
    <x:xf numFmtId="0" fontId="4" fillId="64" borderId="10" xfId="0" applyNumberFormat="1" applyFont="1" applyFill="1" applyBorder="1" applyAlignment="1">
      <x:alignment vertical="top" wrapText="1"/>
    </x:xf>
    <x:xf numFmtId="0" fontId="3" fillId="65" borderId="0" xfId="0" applyNumberFormat="1" applyFont="1" applyFill="1" applyBorder="1"/>
    <x:xf numFmtId="0" fontId="3" fillId="60" borderId="10" xfId="0" applyNumberFormat="1" applyFont="1" applyFill="1" applyBorder="1"/>
    <x:xf numFmtId="0" fontId="4" fillId="63" borderId="10" xfId="0" applyNumberFormat="1" applyFont="1" applyFill="1" applyBorder="1"/>
    <x:xf numFmtId="0" fontId="1" fillId="66" borderId="0" xfId="0" applyNumberFormat="1" applyFont="1" applyFill="1" applyBorder="1" applyAlignment="1">
      <x:alignment horizontal="left" vertical="center"/>
    </x:xf>
    <x:xf numFmtId="0" fontId="6" fillId="67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horizontal="center" wrapText="1"/>
    </x:xf>
    <x:xf numFmtId="0" fontId="4" fillId="68" borderId="10" xfId="0" applyNumberFormat="1" applyFont="1" applyFill="1" applyBorder="1" applyAlignment="1">
      <x:alignment vertical="top" wrapText="1"/>
    </x:xf>
    <x:xf numFmtId="0" fontId="4" fillId="69" borderId="10" xfId="0" applyNumberFormat="1" applyFont="1" applyFill="1" applyBorder="1" applyAlignment="1">
      <x:alignment vertical="top" wrapText="1"/>
    </x:xf>
    <x:xf numFmtId="0" fontId="4" fillId="70" borderId="10" xfId="0" applyNumberFormat="1" applyFont="1" applyFill="1" applyBorder="1" applyAlignment="1">
      <x:alignment vertical="top" wrapText="1"/>
    </x:xf>
    <x:xf numFmtId="0" fontId="3" fillId="71" borderId="0" xfId="0" applyNumberFormat="1" applyFont="1" applyFill="1" applyBorder="1"/>
    <x:xf numFmtId="0" fontId="3" fillId="66" borderId="10" xfId="0" applyNumberFormat="1" applyFont="1" applyFill="1" applyBorder="1"/>
    <x:xf numFmtId="0" fontId="4" fillId="69" borderId="10" xfId="0" applyNumberFormat="1" applyFont="1" applyFill="1" applyBorder="1"/>
    <x:xf numFmtId="0" fontId="0" fillId="71" borderId="0" xfId="0" applyNumberFormat="1" applyFont="1" applyFill="1" applyBorder="1"/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6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15acfa843f44d5" /><Relationship Type="http://schemas.openxmlformats.org/officeDocument/2006/relationships/theme" Target="/xl/theme/theme1.xml" Id="R1a880812079e4a3e" /><Relationship Type="http://schemas.openxmlformats.org/officeDocument/2006/relationships/sharedStrings" Target="/xl/sharedStrings.xml" Id="R0a1383d889a74ded" /><Relationship Type="http://schemas.openxmlformats.org/officeDocument/2006/relationships/worksheet" Target="/xl/worksheets/sheet1.xml" Id="R6b76e2f56e304f4a" /><Relationship Type="http://schemas.openxmlformats.org/officeDocument/2006/relationships/worksheet" Target="/xl/worksheets/sheet2.xml" Id="R84eb57ead8f0401b" /><Relationship Type="http://schemas.openxmlformats.org/officeDocument/2006/relationships/worksheet" Target="/xl/worksheets/sheet3.xml" Id="R66b8697567d34d45" /><Relationship Type="http://schemas.openxmlformats.org/officeDocument/2006/relationships/worksheet" Target="/xl/worksheets/sheet4.xml" Id="Rb25b39fb71a049f2" /><Relationship Type="http://schemas.openxmlformats.org/officeDocument/2006/relationships/worksheet" Target="/xl/worksheets/sheet5.xml" Id="Re4085fb988964699" /><Relationship Type="http://schemas.openxmlformats.org/officeDocument/2006/relationships/worksheet" Target="/xl/worksheets/sheet6.xml" Id="R871964fc51df43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cc59c84ff7498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cc59c84ff7498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1181120e65413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COUNTIF('Test Log'!Q6:Q20,"PASS")+COUNTIF('Test Log'!Q6:Q20,"FAIL")+COUNTIF('Test Log'!Q6:Q20,"INPUT")</x:f>
        <x:v>8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Log'!Q6:Q20,"PASS")</x:f>
        <x:v>8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Log'!Q6:Q20,"FAIL")</x:f>
        <x:v>0</x:v>
      </x:c>
      <x:c r="D8" s="26" t="str">
        <x:v>기능</x:v>
      </x:c>
      <x:c r="E8" s="25" t="n">
        <x:f>COUNTIFS('Test Log'!D$2:D$201,D8,'Test Log'!Q$2:Q$201,"PASS")</x:f>
        <x:v>1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0</x:v>
      </x:c>
    </x:row>
    <x:row r="9">
      <x:c r="A9" s="13" t="str">
        <x:v>입력 대기</x:v>
      </x:c>
      <x:c r="B9" s="17" t="n">
        <x:f>COUNTIF('Test Log'!Q6:Q20,"INPUT")</x:f>
        <x:v>0</x:v>
      </x:c>
      <x:c r="D9" s="26" t="str">
        <x:v>계측 정확도</x:v>
      </x:c>
      <x:c r="E9" s="25" t="n">
        <x:f>COUNTIFS('Test Log'!D$2:D$201,D9,'Test Log'!Q$2:Q$201,"PASS")</x:f>
        <x:v>3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0</x:v>
      </x:c>
    </x:row>
    <x:row r="10">
      <x:c r="A10" s="13" t="str">
        <x:v>합격률</x:v>
      </x:c>
      <x:c r="B10" s="18" t="n">
        <x:f>IF(B6=0,0,B7/B6)</x:f>
        <x:v>1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0</x:v>
      </x:c>
    </x:row>
    <x:row r="11">
      <x:c r="D11" s="26" t="str">
        <x:v>통신</x:v>
      </x:c>
      <x:c r="E11" s="25" t="n">
        <x:f>COUNTIFS('Test Log'!D$2:D$201,D11,'Test Log'!Q$2:Q$201,"PASS")</x:f>
        <x:v>2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0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0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0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0a1181120e65413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3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GUI 첫 VALID 텔레메트리 기준 3초 이내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/>
      <x:c r="B13" s="55"/>
      <x:c r="C13" s="55"/>
      <x:c r="D13" s="55"/>
      <x:c r="E13" s="55"/>
      <x:c r="F13" s="56"/>
      <x:c r="G13" s="55"/>
      <x:c r="H13" s="55"/>
      <x:c r="I13" s="55"/>
      <x:c r="J13" s="55"/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/>
      <x:c r="B16" s="55"/>
      <x:c r="C16" s="55"/>
      <x:c r="D16" s="55"/>
      <x:c r="E16" s="55"/>
      <x:c r="F16" s="56"/>
      <x:c r="G16" s="55"/>
      <x:c r="H16" s="55"/>
      <x:c r="I16" s="55"/>
      <x:c r="J16" s="55"/>
    </x:row>
    <x:row r="17">
      <x:c r="A17" s="55"/>
      <x:c r="B17" s="55"/>
      <x:c r="C17" s="55"/>
      <x:c r="D17" s="55"/>
      <x:c r="E17" s="55"/>
      <x:c r="F17" s="56"/>
      <x:c r="G17" s="55"/>
      <x:c r="H17" s="55"/>
      <x:c r="I17" s="55"/>
      <x:c r="J17" s="55"/>
    </x:row>
    <x:row r="18">
      <x:c r="A18" s="55"/>
      <x:c r="B18" s="55"/>
      <x:c r="C18" s="55"/>
      <x:c r="D18" s="55"/>
      <x:c r="E18" s="55"/>
      <x:c r="F18" s="56"/>
      <x:c r="G18" s="55"/>
      <x:c r="H18" s="55"/>
      <x:c r="I18" s="55"/>
      <x:c r="J18" s="55"/>
    </x:row>
    <x:row r="19">
      <x:c r="A19" s="55"/>
      <x:c r="B19" s="55"/>
      <x:c r="C19" s="55"/>
      <x:c r="D19" s="55"/>
      <x:c r="E19" s="55"/>
      <x:c r="F19" s="56"/>
      <x:c r="G19" s="55"/>
      <x:c r="H19" s="55"/>
      <x:c r="I19" s="55"/>
      <x:c r="J19" s="55"/>
    </x:row>
    <x:row r="20">
      <x:c r="A20" s="55"/>
      <x:c r="B20" s="55"/>
      <x:c r="C20" s="55"/>
      <x:c r="D20" s="55"/>
      <x:c r="E20" s="55"/>
      <x:c r="F20" s="56"/>
      <x:c r="G20" s="55"/>
      <x:c r="H20" s="55"/>
      <x:c r="I20" s="55"/>
      <x:c r="J20" s="55"/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 t="n">
        <x:v>46254</x:v>
      </x:c>
      <x:c r="C6" s="57" t="str">
        <x:v>4b7b1d3</x:v>
      </x:c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3</x:v>
      </x:c>
      <x:c r="I6" s="59" t="str">
        <x:v>최대</x:v>
      </x:c>
      <x:c r="J6" s="60" t="n">
        <x:v>2.312</x:v>
      </x:c>
      <x:c r="K6" s="60"/>
      <x:c r="L6" s="60"/>
      <x:c r="M6" s="60" t="n">
        <x:v>2.312</x:v>
      </x:c>
      <x:c r="N6" s="60"/>
      <x:c r="O6" s="60" t="n">
        <x:v>1</x:v>
      </x:c>
      <x:c r="P6" s="57" t="str">
        <x:v>Reset 후 GUI 첫 VALID 텔레메트리</x:v>
      </x:c>
      <x:c r="Q6" s="25" t="str">
        <x:f>IF(OR(H6="",I6="",J6=""),"INPUT",IF(I6="최대",IF(J6&lt;=H6,"PASS","FAIL"),IF(I6="최소",IF(J6&gt;=H6,"PASS","FAIL"),IF(I6="일치",IF(J6=H6,"PASS","FAIL"),"CHECK"))))</x:f>
        <x:v>PASS</x:v>
      </x:c>
      <x:c r="R6" s="57" t="str">
        <x:v>통과</x:v>
      </x:c>
      <x:c r="S6" s="57" t="str">
        <x:v>지명환</x:v>
      </x:c>
      <x:c r="T6" s="57" t="str">
        <x:v>반복 부팅 관찰상 GUI 첫 정상 데이터가 보드 시간 약 2–3초. 대표 CSV 첫 VALID 2.312초.</x:v>
      </x:c>
      <x:c r="U6" s="57" t="str">
        <x:v>logs/cosmoke_capture_20260820_091833_148511.csv</x:v>
      </x:c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 t="n">
        <x:v>46254</x:v>
      </x:c>
      <x:c r="C9" s="57" t="str">
        <x:v>f9ceb9a</x:v>
      </x:c>
      <x:c r="D9" s="25" t="str">
        <x:v>계측 정확도</x:v>
      </x:c>
      <x:c r="E9" s="25" t="str">
        <x:v>CH1·CH2 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 t="n">
        <x:v>0.2803</x:v>
      </x:c>
      <x:c r="K9" s="60" t="n">
        <x:v>0.0098</x:v>
      </x:c>
      <x:c r="L9" s="60" t="n">
        <x:v>0.2803</x:v>
      </x:c>
      <x:c r="M9" s="60" t="n">
        <x:v>0.14135</x:v>
      </x:c>
      <x:c r="N9" s="60" t="n">
        <x:v>0.1275</x:v>
      </x:c>
      <x:c r="O9" s="60" t="n">
        <x:v>3</x:v>
      </x:c>
      <x:c r="P9" s="57" t="str">
        <x:v>CH1+CH2; CSV 구간 0 V / 약 5 V / 약 10 V</x:v>
      </x:c>
      <x:c r="Q9" s="25" t="str">
        <x:f>IF(OR(H9="",I9="",J9=""),"INPUT",IF(I9="최대",IF(J9&lt;=H9,"PASS","FAIL"),IF(I9="최소",IF(J9&gt;=H9,"PASS","FAIL"),IF(I9="일치",IF(J9=H9,"PASS","FAIL"),"CHECK"))))</x:f>
        <x:v>PASS</x:v>
      </x:c>
      <x:c r="R9" s="57" t="str">
        <x:v>통과</x:v>
      </x:c>
      <x:c r="S9" s="57" t="str">
        <x:v>지명환</x:v>
      </x:c>
      <x:c r="T9" s="57" t="str">
        <x:v>50% 점 편차: I1 0.2803%, V1 0.0184%, I2 0.2569%, V2 0.0098%FS. 절대 게인은 현장 검증 이관.</x:v>
      </x:c>
      <x:c r="U9" s="57" t="str">
        <x:v>logs/cosmoke_capture_20260820_103337_769201.csv</x:v>
      </x:c>
    </x:row>
    <x:row r="10">
      <x:c r="A10" s="25" t="str">
        <x:v>A-04</x:v>
      </x:c>
      <x:c r="B10" s="58" t="n">
        <x:v>46254</x:v>
      </x:c>
      <x:c r="C10" s="57" t="str">
        <x:v>4b7b1d3</x:v>
      </x:c>
      <x:c r="D10" s="25" t="str">
        <x:v>계측 정확도</x:v>
      </x:c>
      <x:c r="E10" s="25" t="str">
        <x:v>CH1·CH2 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 t="n">
        <x:v>18.206</x:v>
      </x:c>
      <x:c r="K10" s="60" t="n">
        <x:v>0.209</x:v>
      </x:c>
      <x:c r="L10" s="60" t="n">
        <x:v>18.206</x:v>
      </x:c>
      <x:c r="M10" s="60" t="n">
        <x:v>7.988</x:v>
      </x:c>
      <x:c r="N10" s="60" t="n">
        <x:v>7.492</x:v>
      </x:c>
      <x:c r="O10" s="60" t="n">
        <x:v>3001</x:v>
      </x:c>
      <x:c r="P10" s="57" t="str">
        <x:v>11 V / 5 A; CH1+CH2; final stable 5 min</x:v>
      </x:c>
      <x:c r="Q10" s="25" t="str">
        <x:f>IF(OR(H10="",I10="",J10=""),"INPUT",IF(I10="최대",IF(J10&lt;=H10,"PASS","FAIL"),IF(I10="최소",IF(J10&gt;=H10,"PASS","FAIL"),IF(I10="일치",IF(J10=H10,"PASS","FAIL"),"CHECK"))))</x:f>
        <x:v>PASS</x:v>
      </x:c>
      <x:c r="R10" s="57" t="str">
        <x:v>통과</x:v>
      </x:c>
      <x:c r="S10" s="57" t="str">
        <x:v>지명환</x:v>
      </x:c>
      <x:c r="T10" s="57" t="str">
        <x:v>RMS: I1 0.209 mA, V1 13.141 mV, I2 0.397 mA, V2 18.206 mV (최대값 판정).</x:v>
      </x:c>
      <x:c r="U10" s="57" t="str">
        <x:v>logs/cosmoke_capture_20260820_094031_980220.csv</x:v>
      </x:c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/>
      <x:c r="B13" s="58"/>
      <x:c r="C13" s="57"/>
      <x:c r="D13" s="25"/>
      <x:c r="E13" s="25"/>
      <x:c r="F13" s="25"/>
      <x:c r="G13" s="25"/>
      <x:c r="H13" s="59"/>
      <x:c r="I13" s="59"/>
      <x:c r="J13" s="60"/>
      <x:c r="K13" s="60"/>
      <x:c r="L13" s="60"/>
      <x:c r="M13" s="60"/>
      <x:c r="N13" s="60"/>
      <x:c r="O13" s="60"/>
      <x:c r="P13" s="57"/>
      <x:c r="Q13" s="25"/>
      <x:c r="R13" s="57"/>
      <x:c r="S13" s="57"/>
      <x:c r="T13" s="57"/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 t="n">
        <x:v>46254</x:v>
      </x:c>
      <x:c r="C15" s="57" t="str">
        <x:v>4b7b1d3</x:v>
      </x:c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 t="n">
        <x:v>0</x:v>
      </x:c>
      <x:c r="K15" s="60" t="n">
        <x:v>0</x:v>
      </x:c>
      <x:c r="L15" s="60" t="n">
        <x:v>0</x:v>
      </x:c>
      <x:c r="M15" s="60" t="n">
        <x:v>0</x:v>
      </x:c>
      <x:c r="N15" s="60" t="n">
        <x:v>0</x:v>
      </x:c>
      <x:c r="O15" s="60" t="n">
        <x:v>16620</x:v>
      </x:c>
      <x:c r="P15" s="57" t="str">
        <x:v>11 V / 5 A; CH1+CH2; 27.7 min, pre-gain trim</x:v>
      </x:c>
      <x:c r="Q15" s="25" t="str">
        <x:f>IF(J15&lt;=H15,"PASS","FAIL")</x:f>
        <x:v>PASS</x:v>
      </x:c>
      <x:c r="R15" s="57" t="str">
        <x:v>통과</x:v>
      </x:c>
      <x:c r="S15" s="57" t="str">
        <x:v>지명환</x:v>
      </x:c>
      <x:c r="T15" s="57" t="str">
        <x:v>ADC sequence 간격 최대 201 (정상 200)으로 UDP 손실 0%. PC 수신 gap 218 ms 1회는 호스트 지연으로 분리.</x:v>
      </x:c>
      <x:c r="U15" s="57" t="str">
        <x:v>logs/cosmoke_capture_20260820_094031_980220.csv</x:v>
      </x:c>
    </x:row>
    <x:row r="16">
      <x:c r="A16" s="25"/>
      <x:c r="B16" s="58"/>
      <x:c r="C16" s="57"/>
      <x:c r="D16" s="25"/>
      <x:c r="E16" s="25"/>
      <x:c r="F16" s="25"/>
      <x:c r="G16" s="25"/>
      <x:c r="H16" s="59"/>
      <x:c r="I16" s="59"/>
      <x:c r="J16" s="60"/>
      <x:c r="K16" s="60"/>
      <x:c r="L16" s="60"/>
      <x:c r="M16" s="60"/>
      <x:c r="N16" s="60"/>
      <x:c r="O16" s="60"/>
      <x:c r="P16" s="57"/>
      <x:c r="Q16" s="25"/>
      <x:c r="R16" s="57"/>
      <x:c r="S16" s="57"/>
      <x:c r="T16" s="57"/>
      <x:c r="U16" s="57"/>
    </x:row>
    <x:row r="17">
      <x:c r="A17" s="25"/>
      <x:c r="B17" s="58"/>
      <x:c r="C17" s="57"/>
      <x:c r="D17" s="25"/>
      <x:c r="E17" s="25"/>
      <x:c r="F17" s="25"/>
      <x:c r="G17" s="25"/>
      <x:c r="H17" s="59"/>
      <x:c r="I17" s="59"/>
      <x:c r="J17" s="60"/>
      <x:c r="K17" s="60"/>
      <x:c r="L17" s="60"/>
      <x:c r="M17" s="60"/>
      <x:c r="N17" s="60"/>
      <x:c r="O17" s="60"/>
      <x:c r="P17" s="57"/>
      <x:c r="Q17" s="25"/>
      <x:c r="R17" s="57"/>
      <x:c r="S17" s="57"/>
      <x:c r="T17" s="57"/>
      <x:c r="U17" s="57"/>
    </x:row>
    <x:row r="18">
      <x:c r="A18" s="25"/>
      <x:c r="B18" s="58"/>
      <x:c r="C18" s="57"/>
      <x:c r="D18" s="25"/>
      <x:c r="E18" s="25"/>
      <x:c r="F18" s="25"/>
      <x:c r="G18" s="25"/>
      <x:c r="H18" s="59"/>
      <x:c r="I18" s="59"/>
      <x:c r="J18" s="60"/>
      <x:c r="K18" s="60"/>
      <x:c r="L18" s="60"/>
      <x:c r="M18" s="60"/>
      <x:c r="N18" s="60"/>
      <x:c r="O18" s="60"/>
      <x:c r="P18" s="57"/>
      <x:c r="Q18" s="25"/>
      <x:c r="R18" s="57"/>
      <x:c r="S18" s="57"/>
      <x:c r="T18" s="57"/>
      <x:c r="U18" s="57"/>
    </x:row>
    <x:row r="19">
      <x:c r="A19" s="25"/>
      <x:c r="B19" s="58"/>
      <x:c r="C19" s="57"/>
      <x:c r="D19" s="25"/>
      <x:c r="E19" s="25"/>
      <x:c r="F19" s="25"/>
      <x:c r="G19" s="25"/>
      <x:c r="H19" s="59"/>
      <x:c r="I19" s="59"/>
      <x:c r="J19" s="60"/>
      <x:c r="K19" s="60"/>
      <x:c r="L19" s="60"/>
      <x:c r="M19" s="60"/>
      <x:c r="N19" s="60"/>
      <x:c r="O19" s="60"/>
      <x:c r="P19" s="57"/>
      <x:c r="Q19" s="25"/>
      <x:c r="R19" s="57"/>
      <x:c r="S19" s="57"/>
      <x:c r="T19" s="57"/>
      <x:c r="U19" s="57"/>
    </x:row>
    <x:row r="20">
      <x:c r="A20" s="25"/>
      <x:c r="B20" s="58"/>
      <x:c r="C20" s="57"/>
      <x:c r="D20" s="25"/>
      <x:c r="E20" s="25"/>
      <x:c r="F20" s="25"/>
      <x:c r="G20" s="25"/>
      <x:c r="H20" s="59"/>
      <x:c r="I20" s="59"/>
      <x:c r="J20" s="60"/>
      <x:c r="K20" s="60"/>
      <x:c r="L20" s="60"/>
      <x:c r="M20" s="60"/>
      <x:c r="N20" s="60"/>
      <x:c r="O20" s="60"/>
      <x:c r="P20" s="57"/>
      <x:c r="Q20" s="25"/>
      <x:c r="R20" s="57"/>
      <x:c r="S20" s="57"/>
      <x:c r="T20" s="57"/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200" t="str">
        <x:v>CSV 캡처 이력 및 분석 결과</x:v>
      </x:c>
      <x:c r="B1" s="200"/>
      <x:c r="C1" s="200"/>
      <x:c r="D1" s="200"/>
      <x:c r="E1" s="200"/>
      <x:c r="F1" s="200"/>
      <x:c r="G1" s="200"/>
      <x:c r="H1" s="200"/>
      <x:c r="I1" s="200"/>
      <x:c r="J1" s="200"/>
      <x:c r="K1" s="200"/>
      <x:c r="L1" s="200"/>
      <x:c r="M1" s="200"/>
      <x:c r="N1" s="200"/>
      <x:c r="O1" s="200"/>
      <x:c r="P1" s="200"/>
    </x:row>
    <x:row r="3">
      <x:c r="A3" s="201" t="str">
        <x:v>모든 원본 CSV는 logs/에 보관합니다. PASS는 해당 캡처의 범위에서만 유효하며, 장시간·교정 시험은 별도 시험으로 확정합니다.</x:v>
      </x:c>
      <x:c r="B3" s="201"/>
      <x:c r="C3" s="201"/>
      <x:c r="D3" s="201"/>
      <x:c r="E3" s="201"/>
      <x:c r="F3" s="201"/>
      <x:c r="G3" s="201"/>
      <x:c r="H3" s="201"/>
      <x:c r="I3" s="201"/>
      <x:c r="J3" s="201"/>
      <x:c r="K3" s="201"/>
      <x:c r="L3" s="201"/>
      <x:c r="M3" s="201"/>
      <x:c r="N3" s="201"/>
      <x:c r="O3" s="201"/>
      <x:c r="P3" s="201"/>
    </x:row>
    <x:row r="5">
      <x:c r="A5" s="202" t="str">
        <x:v>CSV 파일</x:v>
      </x:c>
      <x:c r="B5" s="202" t="str">
        <x:v>시험 목적</x:v>
      </x:c>
      <x:c r="C5" s="202" t="str">
        <x:v>FW commit</x:v>
      </x:c>
      <x:c r="D5" s="202" t="str">
        <x:v>부팅 구간</x:v>
      </x:c>
      <x:c r="E5" s="202" t="str">
        <x:v>프레임</x:v>
      </x:c>
      <x:c r="F5" s="202" t="str">
        <x:v>PC 시간 (s)</x:v>
      </x:c>
      <x:c r="G5" s="202" t="str">
        <x:v>보드 시간 (s)</x:v>
      </x:c>
      <x:c r="H5" s="202" t="str">
        <x:v>시간비</x:v>
      </x:c>
      <x:c r="I5" s="202" t="str">
        <x:v>ADC rate (Hz)</x:v>
      </x:c>
      <x:c r="J5" s="202" t="str">
        <x:v>UDP 평균 (ms)</x:v>
      </x:c>
      <x:c r="K5" s="202" t="str">
        <x:v>UDP 범위 (ms)</x:v>
      </x:c>
      <x:c r="L5" s="202" t="str">
        <x:v>드랍 최대</x:v>
      </x:c>
      <x:c r="M5" s="202" t="str">
        <x:v>오류</x:v>
      </x:c>
      <x:c r="N5" s="202" t="str">
        <x:v>입력/조건</x:v>
      </x:c>
      <x:c r="O5" s="202" t="str">
        <x:v>판정</x:v>
      </x:c>
      <x:c r="P5" s="202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203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204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205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204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204" t="str">
        <x:v>PASS</x:v>
      </x:c>
      <x:c r="P10" s="100" t="str">
        <x:v>보정 전 평균: I1 +12.466 mA, V1 -11.734 mV, I2 +11.331 mA, V2 +29.593 mV; OFFSET_UNITS 적용</x:v>
      </x:c>
    </x:row>
    <x:row r="11">
      <x:c r="A11" s="206" t="str">
        <x:v>현재 검증된 펌웨어 프로파일</x:v>
      </x:c>
      <x:c r="B11" s="206"/>
      <x:c r="C11" s="206"/>
      <x:c r="D11" s="206"/>
      <x:c r="E11" s="206"/>
      <x:c r="F11" s="206"/>
      <x:c r="G11" s="206"/>
      <x:c r="H11" s="206"/>
      <x:c r="I11" s="206"/>
      <x:c r="J11" s="206"/>
      <x:c r="K11" s="206"/>
      <x:c r="L11" s="206"/>
      <x:c r="M11" s="206"/>
      <x:c r="N11" s="206"/>
      <x:c r="O11" s="206"/>
      <x:c r="P11" s="206"/>
    </x:row>
    <x:row r="12">
      <x:c r="A12" s="207" t="str">
        <x:v>설정</x:v>
      </x:c>
      <x:c r="B12" s="207" t="str">
        <x:v>현재값</x:v>
      </x:c>
      <x:c r="C12" s="207" t="str">
        <x:v>근거</x:v>
      </x:c>
      <x:c r="D12" s="207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208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208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208" t="str">
        <x:v>검증됨</x:v>
      </x:c>
    </x:row>
    <x:row r="17">
      <x:c r="A17" s="206" t="str">
        <x:v>적용한 영점 보정값 (2026-08-20, 마지막 5분 평균)</x:v>
      </x:c>
      <x:c r="B17" s="206"/>
      <x:c r="C17" s="206"/>
      <x:c r="D17" s="206"/>
      <x:c r="E17" s="206"/>
      <x:c r="F17" s="206"/>
      <x:c r="G17" s="206"/>
      <x:c r="H17" s="206"/>
      <x:c r="I17" s="206"/>
      <x:c r="J17" s="206"/>
      <x:c r="K17" s="206"/>
      <x:c r="L17" s="206"/>
      <x:c r="M17" s="206"/>
      <x:c r="N17" s="206"/>
      <x:c r="O17" s="206"/>
      <x:c r="P17" s="206"/>
    </x:row>
    <x:row r="18">
      <x:c r="A18" s="207" t="str">
        <x:v>채널</x:v>
      </x:c>
      <x:c r="B18" s="207" t="str">
        <x:v>측정 평균</x:v>
      </x:c>
      <x:c r="C18" s="207" t="str">
        <x:v>단위</x:v>
      </x:c>
      <x:c r="D18" s="207" t="str">
        <x:v>펌웨어 매크로</x:v>
      </x:c>
      <x:c r="E18" s="207" t="str">
        <x:v>적용 OFFSET_UNITS</x:v>
      </x:c>
      <x:c r="F18" s="207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206" t="str">
        <x:v>추가 캡처: 양 채널 11 V / 5 A 장시간 부하 시험</x:v>
      </x:c>
      <x:c r="B24" s="206"/>
      <x:c r="C24" s="206"/>
      <x:c r="D24" s="206"/>
      <x:c r="E24" s="206"/>
      <x:c r="F24" s="206"/>
      <x:c r="G24" s="206"/>
      <x:c r="H24" s="206"/>
      <x:c r="I24" s="206"/>
      <x:c r="J24" s="206"/>
      <x:c r="K24" s="206"/>
      <x:c r="L24" s="206"/>
      <x:c r="M24" s="206"/>
      <x:c r="N24" s="206"/>
      <x:c r="O24" s="206"/>
      <x:c r="P24" s="206"/>
    </x:row>
    <x:row r="25">
      <x:c r="A25" s="202" t="str">
        <x:v>CSV 파일</x:v>
      </x:c>
      <x:c r="B25" s="202" t="str">
        <x:v>시험 목적</x:v>
      </x:c>
      <x:c r="C25" s="202" t="str">
        <x:v>FW commit</x:v>
      </x:c>
      <x:c r="D25" s="202" t="str">
        <x:v>부팅 구간</x:v>
      </x:c>
      <x:c r="E25" s="202" t="str">
        <x:v>프레임</x:v>
      </x:c>
      <x:c r="F25" s="202" t="str">
        <x:v>PC 시간 (s)</x:v>
      </x:c>
      <x:c r="G25" s="202" t="str">
        <x:v>보드 시간 (s)</x:v>
      </x:c>
      <x:c r="H25" s="202" t="str">
        <x:v>시간비</x:v>
      </x:c>
      <x:c r="I25" s="202" t="str">
        <x:v>ADC rate (Hz)</x:v>
      </x:c>
      <x:c r="J25" s="202" t="str">
        <x:v>UDP 평균 (ms)</x:v>
      </x:c>
      <x:c r="K25" s="202" t="str">
        <x:v>UDP 범위 (ms)</x:v>
      </x:c>
      <x:c r="L25" s="202" t="str">
        <x:v>드랍 최대</x:v>
      </x:c>
      <x:c r="M25" s="202" t="str">
        <x:v>오류</x:v>
      </x:c>
      <x:c r="N25" s="202" t="str">
        <x:v>입력/조건</x:v>
      </x:c>
      <x:c r="O25" s="202" t="str">
        <x:v>판정</x:v>
      </x:c>
      <x:c r="P25" s="202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204" t="str">
        <x:v>PASS (안정성)</x:v>
      </x:c>
      <x:c r="P26" s="100" t="str">
        <x:v>0 입력 구간 44프레임 제외. 게인 오차: I1 +5.97%, V1 +9.80%, I2 +3.32%, V2 +10.44%; SCALE_TRIM 적용 후 재시험 필요</x:v>
      </x:c>
    </x:row>
    <x:row r="28">
      <x:c r="A28" s="206" t="str">
        <x:v>추가 캡처: 3점 상대 선형성 시험</x:v>
      </x:c>
      <x:c r="B28" s="206"/>
      <x:c r="C28" s="206"/>
      <x:c r="D28" s="206"/>
      <x:c r="E28" s="206"/>
      <x:c r="F28" s="206"/>
      <x:c r="G28" s="206"/>
      <x:c r="H28" s="206"/>
      <x:c r="I28" s="206"/>
      <x:c r="J28" s="206"/>
      <x:c r="K28" s="206"/>
      <x:c r="L28" s="206"/>
      <x:c r="M28" s="206"/>
      <x:c r="N28" s="206"/>
      <x:c r="O28" s="206"/>
      <x:c r="P28" s="206"/>
    </x:row>
    <x:row r="29">
      <x:c r="A29" s="202" t="str">
        <x:v>CSV 파일</x:v>
      </x:c>
      <x:c r="B29" s="202" t="str">
        <x:v>시험 목적</x:v>
      </x:c>
      <x:c r="C29" s="202" t="str">
        <x:v>FW commit</x:v>
      </x:c>
      <x:c r="D29" s="202" t="str">
        <x:v>부팅 구간</x:v>
      </x:c>
      <x:c r="E29" s="202" t="str">
        <x:v>프레임</x:v>
      </x:c>
      <x:c r="F29" s="202" t="str">
        <x:v>PC 시간 (s)</x:v>
      </x:c>
      <x:c r="G29" s="202" t="str">
        <x:v>보드 시간 (s)</x:v>
      </x:c>
      <x:c r="H29" s="202" t="str">
        <x:v>시간비</x:v>
      </x:c>
      <x:c r="I29" s="202" t="str">
        <x:v>ADC rate (Hz)</x:v>
      </x:c>
      <x:c r="J29" s="202" t="str">
        <x:v>UDP 평균 (ms)</x:v>
      </x:c>
      <x:c r="K29" s="202" t="str">
        <x:v>UDP 범위 (ms)</x:v>
      </x:c>
      <x:c r="L29" s="202" t="str">
        <x:v>드랍 최대</x:v>
      </x:c>
      <x:c r="M29" s="202" t="str">
        <x:v>오류</x:v>
      </x:c>
      <x:c r="N29" s="202" t="str">
        <x:v>입력/조건</x:v>
      </x:c>
      <x:c r="O29" s="202" t="str">
        <x:v>판정</x:v>
      </x:c>
      <x:c r="P29" s="202" t="str">
        <x:v>분석 메모</x:v>
      </x:c>
    </x:row>
    <x:row r="30" ht="48" customHeight="1">
      <x:c r="A30" s="100" t="str">
        <x:v>cosmoke_capture_20260820_103337_769201.csv</x:v>
      </x:c>
      <x:c r="B30" s="100" t="str">
        <x:v>CH1·CH2 3점 상대 선형성</x:v>
      </x:c>
      <x:c r="C30" s="100" t="str">
        <x:v>f9ceb9a</x:v>
      </x:c>
      <x:c r="D30" s="100" t="str">
        <x:v>1</x:v>
      </x:c>
      <x:c r="E30" s="100" t="n">
        <x:v>3135</x:v>
      </x:c>
      <x:c r="F30" s="105" t="n">
        <x:v>313.399</x:v>
      </x:c>
      <x:c r="G30" s="105" t="n">
        <x:v>313.4</x:v>
      </x:c>
      <x:c r="H30" s="105" t="n">
        <x:v>1</x:v>
      </x:c>
      <x:c r="I30" s="105" t="n">
        <x:v>2000</x:v>
      </x:c>
      <x:c r="J30" s="105" t="n">
        <x:v>100</x:v>
      </x:c>
      <x:c r="K30" s="100" t="str">
        <x:v>99–101</x:v>
      </x:c>
      <x:c r="L30" s="106" t="n">
        <x:v>0</x:v>
      </x:c>
      <x:c r="M30" s="100" t="str">
        <x:v>CRC/SPI/DAC=0</x:v>
      </x:c>
      <x:c r="N30" s="100" t="str">
        <x:v>0 V / 약 5 V / 약 10 V</x:v>
      </x:c>
      <x:c r="O30" s="204" t="str">
        <x:v>PASS (상대 선형성)</x:v>
      </x:c>
      <x:c r="P30" s="100" t="str">
        <x:v>50%FS 최대 편차 0.2803% (기준 1%). 절대 전압·전류 기준값은 현장 검증 이관.</x:v>
      </x:c>
    </x:row>
    <x:row r="32">
      <x:c r="A32" s="206" t="str">
        <x:v>열화상 참고 관찰: 양 채널 11 V / 5 A 부하 시험 말기</x:v>
      </x:c>
      <x:c r="B32" s="206"/>
      <x:c r="C32" s="206"/>
      <x:c r="D32" s="206"/>
      <x:c r="E32" s="206"/>
      <x:c r="F32" s="206"/>
      <x:c r="G32" s="206"/>
      <x:c r="H32" s="206"/>
      <x:c r="I32" s="206"/>
      <x:c r="J32" s="206"/>
      <x:c r="K32" s="206"/>
      <x:c r="L32" s="206"/>
      <x:c r="M32" s="206"/>
      <x:c r="N32" s="206"/>
      <x:c r="O32" s="206"/>
      <x:c r="P32" s="206"/>
    </x:row>
    <x:row r="33">
      <x:c r="A33" s="213" t="str">
        <x:v>증빙 이미지</x:v>
      </x:c>
      <x:c r="B33" s="213" t="str">
        <x:v>시험 조건</x:v>
      </x:c>
      <x:c r="C33" s="213" t="str">
        <x:v>표시 최대 (°C)</x:v>
      </x:c>
      <x:c r="D33" s="213" t="str">
        <x:v>중앙 측정점 (°C)</x:v>
      </x:c>
      <x:c r="E33" s="213" t="str">
        <x:v>표시 하한/주변 (°C)</x:v>
      </x:c>
      <x:c r="F33" s="213" t="str">
        <x:v>카메라 설정</x:v>
      </x:c>
      <x:c r="G33" s="213" t="str">
        <x:v>판정/메모</x:v>
      </x:c>
    </x:row>
    <x:row r="34" ht="48" customHeight="1">
      <x:c r="A34" s="100" t="str">
        <x:v>발열1.jpg</x:v>
      </x:c>
      <x:c r="B34" s="100" t="str">
        <x:v>CH1+CH2 11 V / 5 A, 시험 말기</x:v>
      </x:c>
      <x:c r="C34" s="215" t="n">
        <x:v>41</x:v>
      </x:c>
      <x:c r="D34" s="215" t="n">
        <x:v>33.5</x:v>
      </x:c>
      <x:c r="E34" s="215" t="n">
        <x:v>26.9</x:v>
      </x:c>
      <x:c r="F34" s="100" t="str">
        <x:v>Emissivity 0.95</x:v>
      </x:c>
      <x:c r="G34" s="100" t="str">
        <x:v>국부 최고점 41.0°C 관찰; 부품 위치 미확정</x:v>
      </x:c>
    </x:row>
    <x:row r="35" ht="48" customHeight="1">
      <x:c r="A35" s="100" t="str">
        <x:v>발열2.jpg</x:v>
      </x:c>
      <x:c r="B35" s="100" t="str">
        <x:v>CH1+CH2 11 V / 5 A, 시험 말기</x:v>
      </x:c>
      <x:c r="C35" s="215" t="n">
        <x:v>42.9</x:v>
      </x:c>
      <x:c r="D35" s="215" t="n">
        <x:v>37.6</x:v>
      </x:c>
      <x:c r="E35" s="215" t="n">
        <x:v>28.6</x:v>
      </x:c>
      <x:c r="F35" s="100" t="str">
        <x:v>Emissivity 0.95</x:v>
      </x:c>
      <x:c r="G35" s="100" t="str">
        <x:v>국부 최고점 42.9°C 관찰; 과열 징후 없음</x:v>
      </x:c>
    </x:row>
    <x:row r="36" ht="48" customHeight="1">
      <x:c r="A36" s="100" t="str">
        <x:v>발열3.jpg</x:v>
      </x:c>
      <x:c r="B36" s="100" t="str">
        <x:v>CH1+CH2 11 V / 5 A, 시험 말기</x:v>
      </x:c>
      <x:c r="C36" s="215" t="n">
        <x:v>42.9</x:v>
      </x:c>
      <x:c r="D36" s="215" t="n">
        <x:v>34.2</x:v>
      </x:c>
      <x:c r="E36" s="215" t="n">
        <x:v>27.6</x:v>
      </x:c>
      <x:c r="F36" s="100" t="str">
        <x:v>Emissivity 0.95</x:v>
      </x:c>
      <x:c r="G36" s="100" t="str">
        <x:v>국부 최고점 42.9°C 관찰; 정격 판정용이 아닌 참고 자료</x:v>
      </x:c>
    </x:row>
  </x:sheetData>
  <x:mergeCells>
    <x:mergeCell ref="A1:P1"/>
    <x:mergeCell ref="A3:P3"/>
    <x:mergeCell ref="A11:P11"/>
    <x:mergeCell ref="A17:P17"/>
    <x:mergeCell ref="A24:P24"/>
    <x:mergeCell ref="A28:P28"/>
    <x:mergeCell ref="A32:P32"/>
  </x:mergeCells>
  <x:pageMargins left="0.7" right="0.7" top="0.75" bottom="0.75" header="0.3" footer="0.3"/>
</x:worksheet>
</file>