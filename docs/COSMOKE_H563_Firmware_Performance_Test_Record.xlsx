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5d452350b940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bb4e9d9b2c345f8"/>
    <x:sheet xmlns:r="http://schemas.openxmlformats.org/officeDocument/2006/relationships" name="Test Plan" sheetId="2" r:id="R2f5082d810b343f5"/>
    <x:sheet xmlns:r="http://schemas.openxmlformats.org/officeDocument/2006/relationships" name="Test Log" sheetId="3" r:id="R6a67e313337044d1"/>
    <x:sheet xmlns:r="http://schemas.openxmlformats.org/officeDocument/2006/relationships" name="Tuning Profiles" sheetId="4" r:id="Rfd699b596f8140f3"/>
    <x:sheet xmlns:r="http://schemas.openxmlformats.org/officeDocument/2006/relationships" name="Test Procedures" sheetId="5" r:id="R4c54b1ecbe5a4aac"/>
    <x:sheet xmlns:r="http://schemas.openxmlformats.org/officeDocument/2006/relationships" name="Capture History" sheetId="6" r:id="R6aa0f94d95eb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1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b7f5cdda9749fe" /><Relationship Type="http://schemas.openxmlformats.org/officeDocument/2006/relationships/theme" Target="/xl/theme/theme1.xml" Id="R3c526335a3ee4968" /><Relationship Type="http://schemas.openxmlformats.org/officeDocument/2006/relationships/sharedStrings" Target="/xl/sharedStrings.xml" Id="R2efd4a34c33f4ffb" /><Relationship Type="http://schemas.openxmlformats.org/officeDocument/2006/relationships/worksheet" Target="/xl/worksheets/sheet1.xml" Id="R3bb4e9d9b2c345f8" /><Relationship Type="http://schemas.openxmlformats.org/officeDocument/2006/relationships/worksheet" Target="/xl/worksheets/sheet2.xml" Id="R2f5082d810b343f5" /><Relationship Type="http://schemas.openxmlformats.org/officeDocument/2006/relationships/worksheet" Target="/xl/worksheets/sheet3.xml" Id="R6a67e313337044d1" /><Relationship Type="http://schemas.openxmlformats.org/officeDocument/2006/relationships/worksheet" Target="/xl/worksheets/sheet4.xml" Id="Rfd699b596f8140f3" /><Relationship Type="http://schemas.openxmlformats.org/officeDocument/2006/relationships/worksheet" Target="/xl/worksheets/sheet5.xml" Id="R4c54b1ecbe5a4aac" /><Relationship Type="http://schemas.openxmlformats.org/officeDocument/2006/relationships/worksheet" Target="/xl/worksheets/sheet6.xml" Id="R6aa0f94d95eb4f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9283ba94794f0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9283ba94794f0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5dac42a23f48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17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4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0</x:v>
      </x:c>
      <x:c r="D8" s="26" t="str">
        <x:v>기능</x:v>
      </x:c>
      <x:c r="E8" s="25" t="n">
        <x:f>COUNTIFS('Test Log'!D$2:D$201,D8,'Test Log'!Q$2:Q$201,"PASS")</x:f>
        <x:v>0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1</x:v>
      </x:c>
    </x:row>
    <x:row r="9">
      <x:c r="A9" s="13" t="str">
        <x:v>입력 대기</x:v>
      </x:c>
      <x:c r="B9" s="17" t="n">
        <x:f>COUNTIF('Test Log'!Q2:Q201,"INPUT")+COUNTIF('Test Log'!Q2:Q201,"CHECK")</x:f>
        <x:v>11</x:v>
      </x:c>
      <x:c r="D9" s="26" t="str">
        <x:v>계측 정확도</x:v>
      </x:c>
      <x:c r="E9" s="25" t="n">
        <x:f>COUNTIFS('Test Log'!D$2:D$201,D9,'Test Log'!Q$2:Q$201,"PASS")</x:f>
        <x:v>1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3</x:v>
      </x:c>
    </x:row>
    <x:row r="10">
      <x:c r="A10" s="13" t="str">
        <x:v>합격률</x:v>
      </x:c>
      <x:c r="B10" s="18" t="n">
        <x:f>IFERROR(B7/B6,0)</x:f>
        <x:v>0.23529411764705882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1</x:v>
      </x:c>
    </x:row>
    <x:row r="11">
      <x:c r="D11" s="26" t="str">
        <x:v>통신</x:v>
      </x:c>
      <x:c r="E11" s="25" t="n">
        <x:f>COUNTIFS('Test Log'!D$2:D$201,D11,'Test Log'!Q$2:Q$201,"PASS")</x:f>
        <x:v>1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1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4b5dac42a23f481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2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10 정상 프레임 및 DAC health 확인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 t="str">
        <x:v>T-03</x:v>
      </x:c>
      <x:c r="B13" s="55" t="str">
        <x:v>시간 성능</x:v>
      </x:c>
      <x:c r="C13" s="55" t="str">
        <x:v>DAC 응답</x:v>
      </x:c>
      <x:c r="D13" s="55" t="str">
        <x:v>입력 step→출력 안정화</x:v>
      </x:c>
      <x:c r="E13" s="55" t="str">
        <x:v>ms</x:v>
      </x:c>
      <x:c r="F13" s="56" t="n">
        <x:v>30</x:v>
      </x:c>
      <x:c r="G13" s="55" t="str">
        <x:v>최대</x:v>
      </x:c>
      <x:c r="H13" s="55" t="str">
        <x:v>oscilloscope</x:v>
      </x:c>
      <x:c r="I13" s="55" t="str">
        <x:v>P1</x:v>
      </x:c>
      <x:c r="J13" s="55" t="str">
        <x:v>필터 포함 end-to-end</x:v>
      </x:c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/>
      <x:c r="C6" s="57"/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2</x:v>
      </x:c>
      <x:c r="I6" s="59" t="str">
        <x:v>최대</x:v>
      </x:c>
      <x:c r="J6" s="60"/>
      <x:c r="K6" s="60"/>
      <x:c r="L6" s="60"/>
      <x:c r="M6" s="60"/>
      <x:c r="N6" s="60"/>
      <x:c r="O6" s="60"/>
      <x:c r="P6" s="57"/>
      <x:c r="Q6" s="25" t="str">
        <x:f>IF(OR(H6="",I6="",J6=""),"INPUT",IF(I6="최대",IF(J6&lt;=H6,"PASS","FAIL"),IF(I6="최소",IF(J6&gt;=H6,"PASS","FAIL"),IF(I6="일치",IF(J6=H6,"PASS","FAIL"),"CHECK"))))</x:f>
        <x:v>INPUT</x:v>
      </x:c>
      <x:c r="R6" s="57" t="str">
        <x:v>미실행</x:v>
      </x:c>
      <x:c r="S6" s="57"/>
      <x:c r="T6" s="57" t="str">
        <x:v>10 정상 프레임 및 DAC health 확인</x:v>
      </x:c>
      <x:c r="U6" s="57"/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/>
      <x:c r="C8" s="57"/>
      <x:c r="D8" s="25" t="str">
        <x:v>계측 정확도</x:v>
      </x:c>
      <x:c r="E8" s="25" t="str">
        <x:v>gain 오차</x:v>
      </x:c>
      <x:c r="F8" s="25" t="str">
        <x:v>100% span 오차</x:v>
      </x:c>
      <x:c r="G8" s="25" t="str">
        <x:v>%FS</x:v>
      </x:c>
      <x:c r="H8" s="59" t="n">
        <x:v>0.5</x:v>
      </x:c>
      <x:c r="I8" s="59" t="str">
        <x:v>최대</x:v>
      </x:c>
      <x:c r="J8" s="60"/>
      <x:c r="K8" s="60"/>
      <x:c r="L8" s="60"/>
      <x:c r="M8" s="60"/>
      <x:c r="N8" s="60"/>
      <x:c r="O8" s="60"/>
      <x:c r="P8" s="57"/>
      <x:c r="Q8" s="25" t="str">
        <x:f>IF(OR(H8="",I8="",J8=""),"INPUT",IF(I8="최대",IF(J8&lt;=H8,"PASS","FAIL"),IF(I8="최소",IF(J8&gt;=H8,"PASS","FAIL"),IF(I8="일치",IF(J8=H8,"PASS","FAIL"),"CHECK"))))</x:f>
        <x:v>INPUT</x:v>
      </x:c>
      <x:c r="R8" s="57" t="str">
        <x:v>미실행</x:v>
      </x:c>
      <x:c r="S8" s="57"/>
      <x:c r="T8" s="57" t="str">
        <x:v>보정 전/후 비교</x:v>
      </x:c>
      <x:c r="U8" s="57"/>
    </x:row>
    <x:row r="9">
      <x:c r="A9" s="25" t="str">
        <x:v>A-03</x:v>
      </x:c>
      <x:c r="B9" s="58"/>
      <x:c r="C9" s="57"/>
      <x:c r="D9" s="25" t="str">
        <x:v>계측 정확도</x:v>
      </x:c>
      <x:c r="E9" s="25" t="str">
        <x:v>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/>
      <x:c r="K9" s="60"/>
      <x:c r="L9" s="60"/>
      <x:c r="M9" s="60"/>
      <x:c r="N9" s="60"/>
      <x:c r="O9" s="60"/>
      <x:c r="P9" s="57"/>
      <x:c r="Q9" s="25" t="str">
        <x:f>IF(OR(H9="",I9="",J9=""),"INPUT",IF(I9="최대",IF(J9&lt;=H9,"PASS","FAIL"),IF(I9="최소",IF(J9&gt;=H9,"PASS","FAIL"),IF(I9="일치",IF(J9=H9,"PASS","FAIL"),"CHECK"))))</x:f>
        <x:v>INPUT</x:v>
      </x:c>
      <x:c r="R9" s="57" t="str">
        <x:v>미실행</x:v>
      </x:c>
      <x:c r="S9" s="57"/>
      <x:c r="T9" s="57" t="str">
        <x:v>다점 결과 첨부</x:v>
      </x:c>
      <x:c r="U9" s="57"/>
    </x:row>
    <x:row r="10">
      <x:c r="A10" s="25" t="str">
        <x:v>A-04</x:v>
      </x:c>
      <x:c r="B10" s="58"/>
      <x:c r="C10" s="57"/>
      <x:c r="D10" s="25" t="str">
        <x:v>계측 정확도</x:v>
      </x:c>
      <x:c r="E10" s="25" t="str">
        <x:v>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/>
      <x:c r="K10" s="60"/>
      <x:c r="L10" s="60"/>
      <x:c r="M10" s="60"/>
      <x:c r="N10" s="60"/>
      <x:c r="O10" s="60"/>
      <x:c r="P10" s="57"/>
      <x:c r="Q10" s="25" t="str">
        <x:f>IF(OR(H10="",I10="",J10=""),"INPUT",IF(I10="최대",IF(J10&lt;=H10,"PASS","FAIL"),IF(I10="최소",IF(J10&gt;=H10,"PASS","FAIL"),IF(I10="일치",IF(J10=H10,"PASS","FAIL"),"CHECK"))))</x:f>
        <x:v>INPUT</x:v>
      </x:c>
      <x:c r="R10" s="57" t="str">
        <x:v>미실행</x:v>
      </x:c>
      <x:c r="S10" s="57"/>
      <x:c r="T10" s="57" t="str">
        <x:v>필터 설정 기록</x:v>
      </x:c>
      <x:c r="U10" s="57"/>
    </x:row>
    <x:row r="11">
      <x:c r="A11" s="25" t="str">
        <x:v>T-01</x:v>
      </x:c>
      <x:c r="B11" s="58" t="n">
        <x:v>46254</x:v>
      </x:c>
      <x:c r="C11" s="57" t="str">
        <x:v>0062af0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1999.882</x:v>
      </x:c>
      <x:c r="K11" s="60"/>
      <x:c r="L11" s="60"/>
      <x:c r="M11" s="60" t="n">
        <x:v>1999.882</x:v>
      </x:c>
      <x:c r="N11" s="60"/>
      <x:c r="O11" s="60" t="n">
        <x:v>508</x:v>
      </x:c>
      <x:c r="P11" s="57" t="str">
        <x:v>11 V input; ST-LINK MCO; 2 kSPS / SPI 5.33 MHz / ring 256</x:v>
      </x:c>
      <x:c r="Q11" s="25" t="str">
        <x:f>IF(J11&gt;=H11,"PASS","FAIL")</x:f>
        <x:v>PASS</x:v>
      </x:c>
      <x:c r="R11" s="57" t="str">
        <x:v>예비 통과</x:v>
      </x:c>
      <x:c r="S11" s="57" t="str">
        <x:v>지명환</x:v>
      </x:c>
      <x:c r="T11" s="57" t="str">
        <x:v>50.7 s 최종 부팅 구간; PC 시간 대비 보드 시간 1:1</x:v>
      </x:c>
      <x:c r="U11" s="57" t="str">
        <x:v>logs/cosmoke_capture_20260820_090258_671647.csv</x:v>
      </x:c>
    </x:row>
    <x:row r="12">
      <x:c r="A12" s="25" t="str">
        <x:v>T-02</x:v>
      </x:c>
      <x:c r="B12" s="58" t="n">
        <x:v>46254</x:v>
      </x:c>
      <x:c r="C12" s="57" t="str">
        <x:v>0062af0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508</x:v>
      </x:c>
      <x:c r="P12" s="57" t="str">
        <x:v>11 V input; ST-LINK MCO; 2 kSPS / SPI 5.33 MHz / ring 256</x:v>
      </x:c>
      <x:c r="Q12" s="25" t="str">
        <x:f>IF(J12=0,"PASS","FAIL")</x:f>
        <x:v>PASS</x:v>
      </x:c>
      <x:c r="R12" s="57" t="str">
        <x:v>예비 통과</x:v>
      </x:c>
      <x:c r="S12" s="57" t="str">
        <x:v>지명환</x:v>
      </x:c>
      <x:c r="T12" s="57" t="str">
        <x:v>DMA/Ring/Start/SPI error/DAC lock 모두 0; 10분 시험은 별도 수행</x:v>
      </x:c>
      <x:c r="U12" s="57" t="str">
        <x:v>logs/cosmoke_capture_20260820_090258_671647.csv</x:v>
      </x:c>
    </x:row>
    <x:row r="13">
      <x:c r="A13" s="25" t="str">
        <x:v>T-03</x:v>
      </x:c>
      <x:c r="B13" s="58"/>
      <x:c r="C13" s="57"/>
      <x:c r="D13" s="25" t="str">
        <x:v>시간 성능</x:v>
      </x:c>
      <x:c r="E13" s="25" t="str">
        <x:v>DAC 응답</x:v>
      </x:c>
      <x:c r="F13" s="25" t="str">
        <x:v>입력 step→출력 안정화</x:v>
      </x:c>
      <x:c r="G13" s="25" t="str">
        <x:v>ms</x:v>
      </x:c>
      <x:c r="H13" s="59" t="n">
        <x:v>30</x:v>
      </x:c>
      <x:c r="I13" s="59" t="str">
        <x:v>최대</x:v>
      </x:c>
      <x:c r="J13" s="60"/>
      <x:c r="K13" s="60"/>
      <x:c r="L13" s="60"/>
      <x:c r="M13" s="60"/>
      <x:c r="N13" s="60"/>
      <x:c r="O13" s="60"/>
      <x:c r="P13" s="57"/>
      <x:c r="Q13" s="25" t="str">
        <x:f>IF(OR(H13="",I13="",J13=""),"INPUT",IF(I13="최대",IF(J13&lt;=H13,"PASS","FAIL"),IF(I13="최소",IF(J13&gt;=H13,"PASS","FAIL"),IF(I13="일치",IF(J13=H13,"PASS","FAIL"),"CHECK"))))</x:f>
        <x:v>INPUT</x:v>
      </x:c>
      <x:c r="R13" s="57" t="str">
        <x:v>미실행</x:v>
      </x:c>
      <x:c r="S13" s="57"/>
      <x:c r="T13" s="57" t="str">
        <x:v>필터 포함 end-to-end</x:v>
      </x:c>
      <x:c r="U13" s="57"/>
    </x:row>
    <x:row r="14">
      <x:c r="A14" s="25" t="str">
        <x:v>N-01</x:v>
      </x:c>
      <x:c r="B14" s="58" t="n">
        <x:v>46254</x:v>
      </x:c>
      <x:c r="C14" s="57" t="str">
        <x:v>0062af0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100.002</x:v>
      </x:c>
      <x:c r="K14" s="60" t="n">
        <x:v>98</x:v>
      </x:c>
      <x:c r="L14" s="60" t="n">
        <x:v>102</x:v>
      </x:c>
      <x:c r="M14" s="60" t="n">
        <x:v>100.002</x:v>
      </x:c>
      <x:c r="N14" s="60" t="n">
        <x:v>0.213</x:v>
      </x:c>
      <x:c r="O14" s="60" t="n">
        <x:v>508</x:v>
      </x:c>
      <x:c r="P14" s="57" t="str">
        <x:v>11 V input; ST-LINK MCO; 2 kSPS / SPI 5.33 MHz / ring 256</x:v>
      </x:c>
      <x:c r="Q14" s="25" t="str">
        <x:f>IF(AND(J14&gt;=95,J14&lt;=105),"PASS","FAIL")</x:f>
        <x:v>PASS</x:v>
      </x:c>
      <x:c r="R14" s="57" t="str">
        <x:v>예비 통과</x:v>
      </x:c>
      <x:c r="S14" s="57" t="str">
        <x:v>지명환</x:v>
      </x:c>
      <x:c r="T14" s="57" t="str">
        <x:v>최종 부팅 구간 50.7 s, 10.0 Hz; 1분 이상 시험은 별도 수행</x:v>
      </x:c>
      <x:c r="U14" s="57" t="str">
        <x:v>logs/cosmoke_capture_20260820_090258_671647.csv</x:v>
      </x:c>
    </x:row>
    <x:row r="15">
      <x:c r="A15" s="25" t="str">
        <x:v>N-02</x:v>
      </x:c>
      <x:c r="B15" s="58"/>
      <x:c r="C15" s="57"/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/>
      <x:c r="K15" s="60"/>
      <x:c r="L15" s="60"/>
      <x:c r="M15" s="60"/>
      <x:c r="N15" s="60"/>
      <x:c r="O15" s="60"/>
      <x:c r="P15" s="57"/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미실행</x:v>
      </x:c>
      <x:c r="S15" s="57"/>
      <x:c r="T15" s="57" t="str">
        <x:v>동일 LAN 기준</x:v>
      </x:c>
      <x:c r="U15" s="57"/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113" t="str">
        <x:v>CSV 캡처 이력 및 분석 결과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</x:row>
    <x:row r="3">
      <x:c r="A3" s="114" t="str">
        <x:v>모든 원본 CSV는 logs/에 보관합니다. PASS는 해당 캡처의 범위에서만 유효하며, 장시간·교정 시험은 별도 시험으로 확정합니다.</x:v>
      </x:c>
      <x:c r="B3" s="114"/>
      <x:c r="C3" s="114"/>
      <x:c r="D3" s="114"/>
      <x:c r="E3" s="114"/>
      <x:c r="F3" s="114"/>
      <x:c r="G3" s="114"/>
      <x:c r="H3" s="114"/>
      <x:c r="I3" s="114"/>
      <x:c r="J3" s="114"/>
      <x:c r="K3" s="114"/>
      <x:c r="L3" s="114"/>
      <x:c r="M3" s="114"/>
      <x:c r="N3" s="114"/>
      <x:c r="O3" s="114"/>
      <x:c r="P3" s="114"/>
    </x:row>
    <x:row r="5">
      <x:c r="A5" s="115" t="str">
        <x:v>CSV 파일</x:v>
      </x:c>
      <x:c r="B5" s="115" t="str">
        <x:v>시험 목적</x:v>
      </x:c>
      <x:c r="C5" s="115" t="str">
        <x:v>FW commit</x:v>
      </x:c>
      <x:c r="D5" s="115" t="str">
        <x:v>부팅 구간</x:v>
      </x:c>
      <x:c r="E5" s="115" t="str">
        <x:v>프레임</x:v>
      </x:c>
      <x:c r="F5" s="115" t="str">
        <x:v>PC 시간 (s)</x:v>
      </x:c>
      <x:c r="G5" s="115" t="str">
        <x:v>보드 시간 (s)</x:v>
      </x:c>
      <x:c r="H5" s="115" t="str">
        <x:v>시간비</x:v>
      </x:c>
      <x:c r="I5" s="115" t="str">
        <x:v>ADC rate (Hz)</x:v>
      </x:c>
      <x:c r="J5" s="115" t="str">
        <x:v>UDP 평균 (ms)</x:v>
      </x:c>
      <x:c r="K5" s="115" t="str">
        <x:v>UDP 범위 (ms)</x:v>
      </x:c>
      <x:c r="L5" s="115" t="str">
        <x:v>드랍 최대</x:v>
      </x:c>
      <x:c r="M5" s="115" t="str">
        <x:v>오류</x:v>
      </x:c>
      <x:c r="N5" s="115" t="str">
        <x:v>입력/조건</x:v>
      </x:c>
      <x:c r="O5" s="115" t="str">
        <x:v>판정</x:v>
      </x:c>
      <x:c r="P5" s="115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17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18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19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18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118" t="str">
        <x:v>PASS</x:v>
      </x:c>
      <x:c r="P10" s="100" t="str">
        <x:v>보정 전 평균: I1 +12.466 mA, V1 -11.734 mV, I2 +11.331 mA, V2 +29.593 mV; OFFSET_UNITS 적용</x:v>
      </x:c>
    </x:row>
    <x:row r="11">
      <x:c r="A11" s="120" t="str">
        <x:v>현재 검증된 펌웨어 프로파일</x:v>
      </x:c>
      <x:c r="B11" s="120"/>
      <x:c r="C11" s="120"/>
      <x:c r="D11" s="120"/>
      <x:c r="E11" s="120"/>
      <x:c r="F11" s="120"/>
      <x:c r="G11" s="120"/>
      <x:c r="H11" s="120"/>
      <x:c r="I11" s="120"/>
      <x:c r="J11" s="120"/>
      <x:c r="K11" s="120"/>
      <x:c r="L11" s="120"/>
      <x:c r="M11" s="120"/>
      <x:c r="N11" s="120"/>
      <x:c r="O11" s="120"/>
      <x:c r="P11" s="120"/>
    </x:row>
    <x:row r="12">
      <x:c r="A12" s="121" t="str">
        <x:v>설정</x:v>
      </x:c>
      <x:c r="B12" s="121" t="str">
        <x:v>현재값</x:v>
      </x:c>
      <x:c r="C12" s="121" t="str">
        <x:v>근거</x:v>
      </x:c>
      <x:c r="D12" s="121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22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22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22" t="str">
        <x:v>검증됨</x:v>
      </x:c>
    </x:row>
    <x:row r="17">
      <x:c r="A17" s="120" t="str">
        <x:v>적용한 영점 보정값 (2026-08-20, 마지막 5분 평균)</x:v>
      </x:c>
      <x:c r="B17" s="120"/>
      <x:c r="C17" s="120"/>
      <x:c r="D17" s="120"/>
      <x:c r="E17" s="120"/>
      <x:c r="F17" s="120"/>
      <x:c r="G17" s="120"/>
      <x:c r="H17" s="120"/>
      <x:c r="I17" s="120"/>
      <x:c r="J17" s="120"/>
      <x:c r="K17" s="120"/>
      <x:c r="L17" s="120"/>
      <x:c r="M17" s="120"/>
      <x:c r="N17" s="120"/>
      <x:c r="O17" s="120"/>
      <x:c r="P17" s="120"/>
    </x:row>
    <x:row r="18">
      <x:c r="A18" s="121" t="str">
        <x:v>채널</x:v>
      </x:c>
      <x:c r="B18" s="121" t="str">
        <x:v>측정 평균</x:v>
      </x:c>
      <x:c r="C18" s="121" t="str">
        <x:v>단위</x:v>
      </x:c>
      <x:c r="D18" s="121" t="str">
        <x:v>펌웨어 매크로</x:v>
      </x:c>
      <x:c r="E18" s="121" t="str">
        <x:v>적용 OFFSET_UNITS</x:v>
      </x:c>
      <x:c r="F18" s="121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</x:sheetData>
  <x:mergeCells>
    <x:mergeCell ref="A1:P1"/>
    <x:mergeCell ref="A3:P3"/>
    <x:mergeCell ref="A11:P11"/>
    <x:mergeCell ref="A17:P17"/>
  </x:mergeCells>
  <x:pageMargins left="0.7" right="0.7" top="0.75" bottom="0.75" header="0.3" footer="0.3"/>
</x:worksheet>
</file>