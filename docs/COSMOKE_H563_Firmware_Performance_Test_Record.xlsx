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1dc715e2bd45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967a9e506aa4eb4"/>
    <x:sheet xmlns:r="http://schemas.openxmlformats.org/officeDocument/2006/relationships" name="Test Plan" sheetId="2" r:id="Rece0d41565084d61"/>
    <x:sheet xmlns:r="http://schemas.openxmlformats.org/officeDocument/2006/relationships" name="Test Log" sheetId="3" r:id="Rd3b79eb73da545ea"/>
    <x:sheet xmlns:r="http://schemas.openxmlformats.org/officeDocument/2006/relationships" name="Tuning Profiles" sheetId="4" r:id="R51fe58057fcb412d"/>
    <x:sheet xmlns:r="http://schemas.openxmlformats.org/officeDocument/2006/relationships" name="Test Procedures" sheetId="5" r:id="R88cb1ef9e88b45ad"/>
    <x:sheet xmlns:r="http://schemas.openxmlformats.org/officeDocument/2006/relationships" name="Capture History" sheetId="6" r:id="R0fed46371b8b4a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"/>
    <x:numFmt numFmtId="202" formatCode="yyyy-mm-dd"/>
    <x:numFmt numFmtId="203" formatCode="0.000"/>
    <x:numFmt numFmtId="204" formatCode="#,##0"/>
    <x:numFmt numFmtId="205" formatCode="0.00000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</x:fills>
  <x:borders count="11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</x:borders>
  <x:cellStyleXfs count="1">
    <x:xf numFmtId="0" fontId="0" fillId="0" borderId="0"/>
  </x:cellStyleXfs>
  <x:cellXfs count="1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  <x:xf numFmtId="0" fontId="1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horizontal="center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20" borderId="10" xfId="0" applyNumberFormat="1" applyFont="1" applyFill="1" applyBorder="1" applyAlignment="1">
      <x:alignment vertical="top" wrapText="1"/>
    </x:xf>
    <x:xf numFmtId="0" fontId="4" fillId="21" borderId="10" xfId="0" applyNumberFormat="1" applyFont="1" applyFill="1" applyBorder="1" applyAlignment="1">
      <x:alignment vertical="top" wrapText="1"/>
    </x:xf>
    <x:xf numFmtId="0" fontId="4" fillId="22" borderId="1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/>
    <x:xf numFmtId="0" fontId="3" fillId="18" borderId="10" xfId="0" applyNumberFormat="1" applyFont="1" applyFill="1" applyBorder="1"/>
    <x:xf numFmtId="0" fontId="4" fillId="21" borderId="10" xfId="0" applyNumberFormat="1" applyFont="1" applyFill="1" applyBorder="1"/>
    <x:xf numFmtId="0" fontId="0" fillId="23" borderId="0" xfId="0" applyNumberFormat="1" applyFont="1" applyFill="1" applyBorder="1"/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205" fontId="0" fillId="0" borderId="10" xfId="0" applyNumberFormat="1" applyFont="1" applyFill="1" applyBorder="1"/>
    <x:xf numFmtId="0" fontId="1" fillId="24" borderId="0" xfId="0" applyNumberFormat="1" applyFont="1" applyFill="1" applyBorder="1" applyAlignment="1">
      <x:alignment horizontal="left" vertical="center"/>
    </x:xf>
    <x:xf numFmtId="0" fontId="6" fillId="25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4" fillId="26" borderId="10" xfId="0" applyNumberFormat="1" applyFont="1" applyFill="1" applyBorder="1" applyAlignment="1">
      <x:alignment vertical="top" wrapText="1"/>
    </x:xf>
    <x:xf numFmtId="0" fontId="4" fillId="27" borderId="10" xfId="0" applyNumberFormat="1" applyFont="1" applyFill="1" applyBorder="1" applyAlignment="1">
      <x:alignment vertical="top" wrapText="1"/>
    </x:xf>
    <x:xf numFmtId="0" fontId="4" fillId="28" borderId="10" xfId="0" applyNumberFormat="1" applyFont="1" applyFill="1" applyBorder="1" applyAlignment="1">
      <x:alignment vertical="top" wrapText="1"/>
    </x:xf>
    <x:xf numFmtId="0" fontId="3" fillId="29" borderId="0" xfId="0" applyNumberFormat="1" applyFont="1" applyFill="1" applyBorder="1"/>
    <x:xf numFmtId="0" fontId="3" fillId="24" borderId="10" xfId="0" applyNumberFormat="1" applyFont="1" applyFill="1" applyBorder="1"/>
    <x:xf numFmtId="0" fontId="4" fillId="27" borderId="10" xfId="0" applyNumberFormat="1" applyFont="1" applyFill="1" applyBorder="1"/>
    <x:xf numFmtId="0" fontId="0" fillId="29" borderId="0" xfId="0" applyNumberFormat="1" applyFont="1" applyFill="1" applyBorder="1"/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7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67665a24b44fa1" /><Relationship Type="http://schemas.openxmlformats.org/officeDocument/2006/relationships/theme" Target="/xl/theme/theme1.xml" Id="R3438d189d7da49d9" /><Relationship Type="http://schemas.openxmlformats.org/officeDocument/2006/relationships/sharedStrings" Target="/xl/sharedStrings.xml" Id="Re7cb55e405414b6c" /><Relationship Type="http://schemas.openxmlformats.org/officeDocument/2006/relationships/worksheet" Target="/xl/worksheets/sheet1.xml" Id="Rc967a9e506aa4eb4" /><Relationship Type="http://schemas.openxmlformats.org/officeDocument/2006/relationships/worksheet" Target="/xl/worksheets/sheet2.xml" Id="Rece0d41565084d61" /><Relationship Type="http://schemas.openxmlformats.org/officeDocument/2006/relationships/worksheet" Target="/xl/worksheets/sheet3.xml" Id="Rd3b79eb73da545ea" /><Relationship Type="http://schemas.openxmlformats.org/officeDocument/2006/relationships/worksheet" Target="/xl/worksheets/sheet4.xml" Id="R51fe58057fcb412d" /><Relationship Type="http://schemas.openxmlformats.org/officeDocument/2006/relationships/worksheet" Target="/xl/worksheets/sheet5.xml" Id="R88cb1ef9e88b45ad" /><Relationship Type="http://schemas.openxmlformats.org/officeDocument/2006/relationships/worksheet" Target="/xl/worksheets/sheet6.xml" Id="R0fed46371b8b4a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5478fea5b1f4b0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478fea5b1f4b0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031251bcce0468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COUNTA('Test Log'!A2:A201)</x:f>
        <x:v>17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Log'!Q2:Q201,"PASS")</x:f>
        <x:v>4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Log'!Q2:Q201,"FAIL")</x:f>
        <x:v>1</x:v>
      </x:c>
      <x:c r="D8" s="26" t="str">
        <x:v>기능</x:v>
      </x:c>
      <x:c r="E8" s="25" t="n">
        <x:f>COUNTIFS('Test Log'!D$2:D$201,D8,'Test Log'!Q$2:Q$201,"PASS")</x:f>
        <x:v>0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1</x:v>
      </x:c>
    </x:row>
    <x:row r="9">
      <x:c r="A9" s="13" t="str">
        <x:v>입력 대기</x:v>
      </x:c>
      <x:c r="B9" s="17" t="n">
        <x:f>COUNTIF('Test Log'!Q2:Q201,"INPUT")+COUNTIF('Test Log'!Q2:Q201,"CHECK")</x:f>
        <x:v>10</x:v>
      </x:c>
      <x:c r="D9" s="26" t="str">
        <x:v>계측 정확도</x:v>
      </x:c>
      <x:c r="E9" s="25" t="n">
        <x:f>COUNTIFS('Test Log'!D$2:D$201,D9,'Test Log'!Q$2:Q$201,"PASS")</x:f>
        <x:v>1</x:v>
      </x:c>
      <x:c r="F9" s="25" t="n">
        <x:f>COUNTIFS('Test Log'!D$2:D$201,D9,'Test Log'!Q$2:Q$201,"FAIL")</x:f>
        <x:v>1</x:v>
      </x:c>
      <x:c r="G9" s="25" t="n">
        <x:f>COUNTIFS('Test Log'!D$2:D$201,D9,'Test Log'!Q$2:Q$201,"INPUT")+COUNTIFS('Test Log'!D$2:D$201,D9,'Test Log'!Q$2:Q$201,"CHECK")</x:f>
        <x:v>2</x:v>
      </x:c>
    </x:row>
    <x:row r="10">
      <x:c r="A10" s="13" t="str">
        <x:v>합격률</x:v>
      </x:c>
      <x:c r="B10" s="18" t="n">
        <x:f>IFERROR(B7/B6,0)</x:f>
        <x:v>0.23529411764705882</x:v>
      </x:c>
      <x:c r="D10" s="26" t="str">
        <x:v>시간 성능</x:v>
      </x:c>
      <x:c r="E10" s="25" t="n">
        <x:f>COUNTIFS('Test Log'!D$2:D$201,D10,'Test Log'!Q$2:Q$201,"PASS")</x:f>
        <x:v>2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1</x:v>
      </x:c>
    </x:row>
    <x:row r="11">
      <x:c r="D11" s="26" t="str">
        <x:v>통신</x:v>
      </x:c>
      <x:c r="E11" s="25" t="n">
        <x:f>COUNTIFS('Test Log'!D$2:D$201,D11,'Test Log'!Q$2:Q$201,"PASS")</x:f>
        <x:v>1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1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4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1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8031251bcce0468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2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10 정상 프레임 및 DAC health 확인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1980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명목 2 kSPS; 합격 기준은 1,980 Hz 이상 (±1%)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 t="str">
        <x:v>T-03</x:v>
      </x:c>
      <x:c r="B13" s="55" t="str">
        <x:v>시간 성능</x:v>
      </x:c>
      <x:c r="C13" s="55" t="str">
        <x:v>DAC 응답</x:v>
      </x:c>
      <x:c r="D13" s="55" t="str">
        <x:v>입력 step→출력 안정화</x:v>
      </x:c>
      <x:c r="E13" s="55" t="str">
        <x:v>ms</x:v>
      </x:c>
      <x:c r="F13" s="56" t="n">
        <x:v>30</x:v>
      </x:c>
      <x:c r="G13" s="55" t="str">
        <x:v>최대</x:v>
      </x:c>
      <x:c r="H13" s="55" t="str">
        <x:v>oscilloscope</x:v>
      </x:c>
      <x:c r="I13" s="55" t="str">
        <x:v>P1</x:v>
      </x:c>
      <x:c r="J13" s="55" t="str">
        <x:v>필터 포함 end-to-end</x:v>
      </x:c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명목 100 ms; 합격 범위는 평균 95–105 ms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 t="str">
        <x:v>R-01</x:v>
      </x:c>
      <x:c r="B16" s="55" t="str">
        <x:v>복구·안전</x:v>
      </x:c>
      <x:c r="C16" s="55" t="str">
        <x:v>ADC DRDY 정지</x:v>
      </x:c>
      <x:c r="D16" s="55" t="str">
        <x:v>MUTED 전이 시간</x:v>
      </x:c>
      <x:c r="E16" s="55" t="str">
        <x:v>ms</x:v>
      </x:c>
      <x:c r="F16" s="56" t="n">
        <x:v>500</x:v>
      </x:c>
      <x:c r="G16" s="55" t="str">
        <x:v>최대</x:v>
      </x:c>
      <x:c r="H16" s="55" t="str">
        <x:v>signal disconnect/log</x:v>
      </x:c>
      <x:c r="I16" s="55" t="str">
        <x:v>P0</x:v>
      </x:c>
      <x:c r="J16" s="55" t="str">
        <x:v>safe output 확인</x:v>
      </x:c>
    </x:row>
    <x:row r="17">
      <x:c r="A17" s="55" t="str">
        <x:v>R-02</x:v>
      </x:c>
      <x:c r="B17" s="55" t="str">
        <x:v>복구·안전</x:v>
      </x:c>
      <x:c r="C17" s="55" t="str">
        <x:v>SPI 장애</x:v>
      </x:c>
      <x:c r="D17" s="55" t="str">
        <x:v>recovery 성공 시간</x:v>
      </x:c>
      <x:c r="E17" s="55" t="str">
        <x:v>s</x:v>
      </x:c>
      <x:c r="F17" s="56" t="n">
        <x:v>3</x:v>
      </x:c>
      <x:c r="G17" s="55" t="str">
        <x:v>최대</x:v>
      </x:c>
      <x:c r="H17" s="55" t="str">
        <x:v>fault injection</x:v>
      </x:c>
      <x:c r="I17" s="55" t="str">
        <x:v>P0</x:v>
      </x:c>
      <x:c r="J17" s="55" t="str">
        <x:v>backoff 포함</x:v>
      </x:c>
    </x:row>
    <x:row r="18">
      <x:c r="A18" s="55" t="str">
        <x:v>R-03</x:v>
      </x:c>
      <x:c r="B18" s="55" t="str">
        <x:v>복구·안전</x:v>
      </x:c>
      <x:c r="C18" s="55" t="str">
        <x:v>DAC 통신 장애</x:v>
      </x:c>
      <x:c r="D18" s="55" t="str">
        <x:v>DAC fault 전이</x:v>
      </x:c>
      <x:c r="E18" s="55" t="str">
        <x:v>ms</x:v>
      </x:c>
      <x:c r="F18" s="56" t="n">
        <x:v>50</x:v>
      </x:c>
      <x:c r="G18" s="55" t="str">
        <x:v>최대</x:v>
      </x:c>
      <x:c r="H18" s="55" t="str">
        <x:v>fault injection</x:v>
      </x:c>
      <x:c r="I18" s="55" t="str">
        <x:v>P0</x:v>
      </x:c>
      <x:c r="J18" s="55" t="str">
        <x:v>출력 안전 상태 확인</x:v>
      </x:c>
    </x:row>
    <x:row r="19">
      <x:c r="A19" s="55" t="str">
        <x:v>R-04</x:v>
      </x:c>
      <x:c r="B19" s="55" t="str">
        <x:v>복구·안전</x:v>
      </x:c>
      <x:c r="C19" s="55" t="str">
        <x:v>LAN 미연결</x:v>
      </x:c>
      <x:c r="D19" s="55" t="str">
        <x:v>watchdog 재부팅 반복</x:v>
      </x:c>
      <x:c r="E19" s="55" t="str">
        <x:v>count</x:v>
      </x:c>
      <x:c r="F19" s="56" t="n">
        <x:v>0</x:v>
      </x:c>
      <x:c r="G19" s="55" t="str">
        <x:v>일치</x:v>
      </x:c>
      <x:c r="H19" s="55" t="str">
        <x:v>Ethernet unplug</x:v>
      </x:c>
      <x:c r="I19" s="55" t="str">
        <x:v>P1</x:v>
      </x:c>
      <x:c r="J19" s="55" t="str">
        <x:v>10분 관찰</x:v>
      </x:c>
    </x:row>
    <x:row r="20">
      <x:c r="A20" s="55" t="str">
        <x:v>L-01</x:v>
      </x:c>
      <x:c r="B20" s="55" t="str">
        <x:v>장시간 안정성</x:v>
      </x:c>
      <x:c r="C20" s="55" t="str">
        <x:v>Soak test</x:v>
      </x:c>
      <x:c r="D20" s="55" t="str">
        <x:v>연속 동작 시간</x:v>
      </x:c>
      <x:c r="E20" s="55" t="str">
        <x:v>h</x:v>
      </x:c>
      <x:c r="F20" s="56" t="n">
        <x:v>24</x:v>
      </x:c>
      <x:c r="G20" s="55" t="str">
        <x:v>최소</x:v>
      </x:c>
      <x:c r="H20" s="55" t="str">
        <x:v>24h logger</x:v>
      </x:c>
      <x:c r="I20" s="55" t="str">
        <x:v>P1</x:v>
      </x:c>
      <x:c r="J20" s="55" t="str">
        <x:v>reset/error/drop 기록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/>
      <x:c r="C6" s="57"/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2</x:v>
      </x:c>
      <x:c r="I6" s="59" t="str">
        <x:v>최대</x:v>
      </x:c>
      <x:c r="J6" s="60"/>
      <x:c r="K6" s="60"/>
      <x:c r="L6" s="60"/>
      <x:c r="M6" s="60"/>
      <x:c r="N6" s="60"/>
      <x:c r="O6" s="60"/>
      <x:c r="P6" s="57"/>
      <x:c r="Q6" s="25" t="str">
        <x:f>IF(OR(H6="",I6="",J6=""),"INPUT",IF(I6="최대",IF(J6&lt;=H6,"PASS","FAIL"),IF(I6="최소",IF(J6&gt;=H6,"PASS","FAIL"),IF(I6="일치",IF(J6=H6,"PASS","FAIL"),"CHECK"))))</x:f>
        <x:v>INPUT</x:v>
      </x:c>
      <x:c r="R6" s="57" t="str">
        <x:v>미실행</x:v>
      </x:c>
      <x:c r="S6" s="57"/>
      <x:c r="T6" s="57" t="str">
        <x:v>10 정상 프레임 및 DAC health 확인</x:v>
      </x:c>
      <x:c r="U6" s="57"/>
    </x:row>
    <x:row r="7">
      <x:c r="A7" s="25" t="str">
        <x:v>A-01</x:v>
      </x:c>
      <x:c r="B7" s="58" t="n">
        <x:v>46254</x:v>
      </x:c>
      <x:c r="C7" s="57" t="str">
        <x:v>4b7b1d3</x:v>
      </x:c>
      <x:c r="D7" s="25" t="str">
        <x:v>계측 정확도</x:v>
      </x:c>
      <x:c r="E7" s="25" t="str">
        <x:v>CH1·CH2 영점</x:v>
      </x:c>
      <x:c r="F7" s="25" t="str">
        <x:v>0 입력 최대 오차</x:v>
      </x:c>
      <x:c r="G7" s="25" t="str">
        <x:v>%FS</x:v>
      </x:c>
      <x:c r="H7" s="59" t="n">
        <x:v>0.2</x:v>
      </x:c>
      <x:c r="I7" s="59" t="str">
        <x:v>최대</x:v>
      </x:c>
      <x:c r="J7" s="60" t="n">
        <x:v>0.041553</x:v>
      </x:c>
      <x:c r="K7" s="60" t="n">
        <x:v>0.004694</x:v>
      </x:c>
      <x:c r="L7" s="60" t="n">
        <x:v>0.041553</x:v>
      </x:c>
      <x:c r="M7" s="60" t="n">
        <x:v>0.023963</x:v>
      </x:c>
      <x:c r="N7" s="60" t="n">
        <x:v>0.015</x:v>
      </x:c>
      <x:c r="O7" s="60" t="n">
        <x:v>3001</x:v>
      </x:c>
      <x:c r="P7" s="57" t="str">
        <x:v>0 V / 0 A; CH1+CH2; final 5 min</x:v>
      </x:c>
      <x:c r="Q7" s="25" t="str">
        <x:f>IF(OR(H7="",I7="",J7=""),"INPUT",IF(I7="최대",IF(J7&lt;=H7,"PASS","FAIL"),IF(I7="최소",IF(J7&gt;=H7,"PASS","FAIL"),IF(I7="일치",IF(J7=H7,"PASS","FAIL"),"CHECK"))))</x:f>
        <x:v>PASS</x:v>
      </x:c>
      <x:c r="R7" s="57" t="str">
        <x:v>통과</x:v>
      </x:c>
      <x:c r="S7" s="57" t="str">
        <x:v>지명환</x:v>
      </x:c>
      <x:c r="T7" s="57" t="str">
        <x:v>CH1 I +12.466 mA, V -11.734 mV; CH2 I +11.331 mA, V +29.593 mV. OFFSET_UNITS 적용.</x:v>
      </x:c>
      <x:c r="U7" s="57" t="str">
        <x:v>logs/cosmoke_capture_20260820_091833_148511.csv</x:v>
      </x:c>
    </x:row>
    <x:row r="8">
      <x:c r="A8" s="25" t="str">
        <x:v>A-02</x:v>
      </x:c>
      <x:c r="B8" s="58" t="n">
        <x:v>46254</x:v>
      </x:c>
      <x:c r="C8" s="57" t="str">
        <x:v>4b7b1d3 (pre-gain)</x:v>
      </x:c>
      <x:c r="D8" s="25" t="str">
        <x:v>계측 정확도</x:v>
      </x:c>
      <x:c r="E8" s="25" t="str">
        <x:v>CH1·CH2 gain</x:v>
      </x:c>
      <x:c r="F8" s="25" t="str">
        <x:v>100% span 최대 오차</x:v>
      </x:c>
      <x:c r="G8" s="25" t="str">
        <x:v>%FS</x:v>
      </x:c>
      <x:c r="H8" s="59" t="n">
        <x:v>0.5</x:v>
      </x:c>
      <x:c r="I8" s="59" t="str">
        <x:v>최대</x:v>
      </x:c>
      <x:c r="J8" s="60" t="n">
        <x:v>10.4435</x:v>
      </x:c>
      <x:c r="K8" s="60" t="n">
        <x:v>3.3202</x:v>
      </x:c>
      <x:c r="L8" s="60" t="n">
        <x:v>10.4435</x:v>
      </x:c>
      <x:c r="M8" s="60" t="n">
        <x:v>7.3837</x:v>
      </x:c>
      <x:c r="N8" s="60" t="n">
        <x:v>3.195</x:v>
      </x:c>
      <x:c r="O8" s="60" t="n">
        <x:v>16577</x:v>
      </x:c>
      <x:c r="P8" s="57" t="str">
        <x:v>11 V / 5 A; CH1+CH2; user-induced input interruption excluded</x:v>
      </x:c>
      <x:c r="Q8" s="25" t="str">
        <x:f>IF(OR(H8="",I8="",J8=""),"INPUT",IF(I8="최대",IF(J8&lt;=H8,"PASS","FAIL"),IF(I8="최소",IF(J8&gt;=H8,"PASS","FAIL"),IF(I8="일치",IF(J8=H8,"PASS","FAIL"),"CHECK"))))</x:f>
        <x:v>FAIL</x:v>
      </x:c>
      <x:c r="R8" s="57" t="str">
        <x:v>보정 후 재검증 필요</x:v>
      </x:c>
      <x:c r="S8" s="57" t="str">
        <x:v>지명환</x:v>
      </x:c>
      <x:c r="T8" s="57" t="str">
        <x:v>보정 전: I1 +5.97%, V1 +9.80%, I2 +3.32%, V2 +10.44%. SCALE_TRIM은 f9ceb9a에 적용.</x:v>
      </x:c>
      <x:c r="U8" s="57" t="str">
        <x:v>logs/cosmoke_capture_20260820_094031_980220.csv</x:v>
      </x:c>
    </x:row>
    <x:row r="9">
      <x:c r="A9" s="25" t="str">
        <x:v>A-03</x:v>
      </x:c>
      <x:c r="B9" s="58"/>
      <x:c r="C9" s="57"/>
      <x:c r="D9" s="25" t="str">
        <x:v>계측 정확도</x:v>
      </x:c>
      <x:c r="E9" s="25" t="str">
        <x:v>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/>
      <x:c r="K9" s="60"/>
      <x:c r="L9" s="60"/>
      <x:c r="M9" s="60"/>
      <x:c r="N9" s="60"/>
      <x:c r="O9" s="60"/>
      <x:c r="P9" s="57"/>
      <x:c r="Q9" s="25" t="str">
        <x:f>IF(OR(H9="",I9="",J9=""),"INPUT",IF(I9="최대",IF(J9&lt;=H9,"PASS","FAIL"),IF(I9="최소",IF(J9&gt;=H9,"PASS","FAIL"),IF(I9="일치",IF(J9=H9,"PASS","FAIL"),"CHECK"))))</x:f>
        <x:v>INPUT</x:v>
      </x:c>
      <x:c r="R9" s="57" t="str">
        <x:v>미실행</x:v>
      </x:c>
      <x:c r="S9" s="57"/>
      <x:c r="T9" s="57" t="str">
        <x:v>다점 결과 첨부</x:v>
      </x:c>
      <x:c r="U9" s="57"/>
    </x:row>
    <x:row r="10">
      <x:c r="A10" s="25" t="str">
        <x:v>A-04</x:v>
      </x:c>
      <x:c r="B10" s="58"/>
      <x:c r="C10" s="57"/>
      <x:c r="D10" s="25" t="str">
        <x:v>계측 정확도</x:v>
      </x:c>
      <x:c r="E10" s="25" t="str">
        <x:v>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/>
      <x:c r="K10" s="60"/>
      <x:c r="L10" s="60"/>
      <x:c r="M10" s="60"/>
      <x:c r="N10" s="60"/>
      <x:c r="O10" s="60"/>
      <x:c r="P10" s="57"/>
      <x:c r="Q10" s="25" t="str">
        <x:f>IF(OR(H10="",I10="",J10=""),"INPUT",IF(I10="최대",IF(J10&lt;=H10,"PASS","FAIL"),IF(I10="최소",IF(J10&gt;=H10,"PASS","FAIL"),IF(I10="일치",IF(J10=H10,"PASS","FAIL"),"CHECK"))))</x:f>
        <x:v>INPUT</x:v>
      </x:c>
      <x:c r="R10" s="57" t="str">
        <x:v>미실행</x:v>
      </x:c>
      <x:c r="S10" s="57"/>
      <x:c r="T10" s="57" t="str">
        <x:v>필터 설정 기록</x:v>
      </x:c>
      <x:c r="U10" s="57"/>
    </x:row>
    <x:row r="11">
      <x:c r="A11" s="25" t="str">
        <x:v>T-01</x:v>
      </x:c>
      <x:c r="B11" s="58" t="n">
        <x:v>46254</x:v>
      </x:c>
      <x:c r="C11" s="57" t="str">
        <x:v>4b7b1d3</x:v>
      </x:c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1980</x:v>
      </x:c>
      <x:c r="I11" s="59" t="str">
        <x:v>최소</x:v>
      </x:c>
      <x:c r="J11" s="60" t="n">
        <x:v>1999.931</x:v>
      </x:c>
      <x:c r="K11" s="60"/>
      <x:c r="L11" s="60"/>
      <x:c r="M11" s="60" t="n">
        <x:v>1999.931</x:v>
      </x:c>
      <x:c r="N11" s="60"/>
      <x:c r="O11" s="60" t="n">
        <x:v>16621</x:v>
      </x:c>
      <x:c r="P11" s="57" t="str">
        <x:v>11 V / 5 A; CH1+CH2; 27.7 min, pre-gain trim</x:v>
      </x:c>
      <x:c r="Q11" s="25" t="str">
        <x:f>IF(J11&gt;=H11,"PASS","FAIL")</x:f>
        <x:v>PASS</x:v>
      </x:c>
      <x:c r="R11" s="57" t="str">
        <x:v>통과</x:v>
      </x:c>
      <x:c r="S11" s="57" t="str">
        <x:v>지명환</x:v>
      </x:c>
      <x:c r="T11" s="57" t="str">
        <x:v>PC/보드 시간 1:1, ADC 1,999.931 Hz</x:v>
      </x:c>
      <x:c r="U11" s="57" t="str">
        <x:v>logs/cosmoke_capture_20260820_094031_980220.csv</x:v>
      </x:c>
    </x:row>
    <x:row r="12">
      <x:c r="A12" s="25" t="str">
        <x:v>T-02</x:v>
      </x:c>
      <x:c r="B12" s="58" t="n">
        <x:v>46254</x:v>
      </x:c>
      <x:c r="C12" s="57" t="str">
        <x:v>4b7b1d3</x:v>
      </x:c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 t="n">
        <x:v>0</x:v>
      </x:c>
      <x:c r="K12" s="60" t="n">
        <x:v>0</x:v>
      </x:c>
      <x:c r="L12" s="60" t="n">
        <x:v>0</x:v>
      </x:c>
      <x:c r="M12" s="60" t="n">
        <x:v>0</x:v>
      </x:c>
      <x:c r="N12" s="60" t="n">
        <x:v>0</x:v>
      </x:c>
      <x:c r="O12" s="60" t="n">
        <x:v>16621</x:v>
      </x:c>
      <x:c r="P12" s="57" t="str">
        <x:v>11 V / 5 A; CH1+CH2; 27.7 min, pre-gain trim</x:v>
      </x:c>
      <x:c r="Q12" s="25" t="str">
        <x:f>IF(J12=0,"PASS","FAIL")</x:f>
        <x:v>PASS</x:v>
      </x:c>
      <x:c r="R12" s="57" t="str">
        <x:v>통과</x:v>
      </x:c>
      <x:c r="S12" s="57" t="str">
        <x:v>지명환</x:v>
      </x:c>
      <x:c r="T12" s="57" t="str">
        <x:v>27.7 min 동안 모든 드롭 원인 0</x:v>
      </x:c>
      <x:c r="U12" s="57" t="str">
        <x:v>logs/cosmoke_capture_20260820_094031_980220.csv</x:v>
      </x:c>
    </x:row>
    <x:row r="13">
      <x:c r="A13" s="25" t="str">
        <x:v>T-03</x:v>
      </x:c>
      <x:c r="B13" s="58"/>
      <x:c r="C13" s="57"/>
      <x:c r="D13" s="25" t="str">
        <x:v>시간 성능</x:v>
      </x:c>
      <x:c r="E13" s="25" t="str">
        <x:v>DAC 응답</x:v>
      </x:c>
      <x:c r="F13" s="25" t="str">
        <x:v>입력 step→출력 안정화</x:v>
      </x:c>
      <x:c r="G13" s="25" t="str">
        <x:v>ms</x:v>
      </x:c>
      <x:c r="H13" s="59" t="n">
        <x:v>30</x:v>
      </x:c>
      <x:c r="I13" s="59" t="str">
        <x:v>최대</x:v>
      </x:c>
      <x:c r="J13" s="60"/>
      <x:c r="K13" s="60"/>
      <x:c r="L13" s="60"/>
      <x:c r="M13" s="60"/>
      <x:c r="N13" s="60"/>
      <x:c r="O13" s="60"/>
      <x:c r="P13" s="57"/>
      <x:c r="Q13" s="25" t="str">
        <x:f>IF(OR(H13="",I13="",J13=""),"INPUT",IF(I13="최대",IF(J13&lt;=H13,"PASS","FAIL"),IF(I13="최소",IF(J13&gt;=H13,"PASS","FAIL"),IF(I13="일치",IF(J13=H13,"PASS","FAIL"),"CHECK"))))</x:f>
        <x:v>INPUT</x:v>
      </x:c>
      <x:c r="R13" s="57" t="str">
        <x:v>미실행</x:v>
      </x:c>
      <x:c r="S13" s="57"/>
      <x:c r="T13" s="57" t="str">
        <x:v>필터 포함 end-to-end</x:v>
      </x:c>
      <x:c r="U13" s="57"/>
    </x:row>
    <x:row r="14">
      <x:c r="A14" s="25" t="str">
        <x:v>N-01</x:v>
      </x:c>
      <x:c r="B14" s="58" t="n">
        <x:v>46254</x:v>
      </x:c>
      <x:c r="C14" s="57" t="str">
        <x:v>4b7b1d3</x:v>
      </x:c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 t="n">
        <x:v>99.999</x:v>
      </x:c>
      <x:c r="K14" s="60" t="n">
        <x:v>0</x:v>
      </x:c>
      <x:c r="L14" s="60" t="n">
        <x:v>218</x:v>
      </x:c>
      <x:c r="M14" s="60" t="n">
        <x:v>99.999</x:v>
      </x:c>
      <x:c r="N14" s="60" t="n">
        <x:v>1.264</x:v>
      </x:c>
      <x:c r="O14" s="60" t="n">
        <x:v>16620</x:v>
      </x:c>
      <x:c r="P14" s="57" t="str">
        <x:v>11 V / 5 A; CH1+CH2; 27.7 min, pre-gain trim</x:v>
      </x:c>
      <x:c r="Q14" s="25" t="str">
        <x:f>IF(AND(J14&gt;=95,J14&lt;=105),"PASS","FAIL")</x:f>
        <x:v>PASS</x:v>
      </x:c>
      <x:c r="R14" s="57" t="str">
        <x:v>통과</x:v>
      </x:c>
      <x:c r="S14" s="57" t="str">
        <x:v>지명환</x:v>
      </x:c>
      <x:c r="T14" s="57" t="str">
        <x:v>평균 99.999 ms; PC 수신 타임스탬프 최대 gap 218 ms</x:v>
      </x:c>
      <x:c r="U14" s="57" t="str">
        <x:v>logs/cosmoke_capture_20260820_094031_980220.csv</x:v>
      </x:c>
    </x:row>
    <x:row r="15">
      <x:c r="A15" s="25" t="str">
        <x:v>N-02</x:v>
      </x:c>
      <x:c r="B15" s="58"/>
      <x:c r="C15" s="57"/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/>
      <x:c r="K15" s="60"/>
      <x:c r="L15" s="60"/>
      <x:c r="M15" s="60"/>
      <x:c r="N15" s="60"/>
      <x:c r="O15" s="60"/>
      <x:c r="P15" s="57"/>
      <x:c r="Q15" s="25" t="str">
        <x:f>IF(OR(H15="",I15="",J15=""),"INPUT",IF(I15="최대",IF(J15&lt;=H15,"PASS","FAIL"),IF(I15="최소",IF(J15&gt;=H15,"PASS","FAIL"),IF(I15="일치",IF(J15=H15,"PASS","FAIL"),"CHECK"))))</x:f>
        <x:v>INPUT</x:v>
      </x:c>
      <x:c r="R15" s="57" t="str">
        <x:v>미실행</x:v>
      </x:c>
      <x:c r="S15" s="57"/>
      <x:c r="T15" s="57" t="str">
        <x:v>동일 LAN 기준</x:v>
      </x:c>
      <x:c r="U15" s="57"/>
    </x:row>
    <x:row r="16">
      <x:c r="A16" s="25" t="str">
        <x:v>R-01</x:v>
      </x:c>
      <x:c r="B16" s="58"/>
      <x:c r="C16" s="57"/>
      <x:c r="D16" s="25" t="str">
        <x:v>복구·안전</x:v>
      </x:c>
      <x:c r="E16" s="25" t="str">
        <x:v>ADC DRDY 정지</x:v>
      </x:c>
      <x:c r="F16" s="25" t="str">
        <x:v>MUTED 전이 시간</x:v>
      </x:c>
      <x:c r="G16" s="25" t="str">
        <x:v>ms</x:v>
      </x:c>
      <x:c r="H16" s="59" t="n">
        <x:v>500</x:v>
      </x:c>
      <x:c r="I16" s="59" t="str">
        <x:v>최대</x:v>
      </x:c>
      <x:c r="J16" s="60"/>
      <x:c r="K16" s="60"/>
      <x:c r="L16" s="60"/>
      <x:c r="M16" s="60"/>
      <x:c r="N16" s="60"/>
      <x:c r="O16" s="60"/>
      <x:c r="P16" s="57"/>
      <x:c r="Q16" s="25" t="str">
        <x:f>IF(OR(H16="",I16="",J16=""),"INPUT",IF(I16="최대",IF(J16&lt;=H16,"PASS","FAIL"),IF(I16="최소",IF(J16&gt;=H16,"PASS","FAIL"),IF(I16="일치",IF(J16=H16,"PASS","FAIL"),"CHECK"))))</x:f>
        <x:v>INPUT</x:v>
      </x:c>
      <x:c r="R16" s="57" t="str">
        <x:v>미실행</x:v>
      </x:c>
      <x:c r="S16" s="57"/>
      <x:c r="T16" s="57" t="str">
        <x:v>safe output 확인</x:v>
      </x:c>
      <x:c r="U16" s="57"/>
    </x:row>
    <x:row r="17">
      <x:c r="A17" s="25" t="str">
        <x:v>R-02</x:v>
      </x:c>
      <x:c r="B17" s="58"/>
      <x:c r="C17" s="57"/>
      <x:c r="D17" s="25" t="str">
        <x:v>복구·안전</x:v>
      </x:c>
      <x:c r="E17" s="25" t="str">
        <x:v>SPI 장애</x:v>
      </x:c>
      <x:c r="F17" s="25" t="str">
        <x:v>recovery 성공 시간</x:v>
      </x:c>
      <x:c r="G17" s="25" t="str">
        <x:v>s</x:v>
      </x:c>
      <x:c r="H17" s="59" t="n">
        <x:v>3</x:v>
      </x:c>
      <x:c r="I17" s="59" t="str">
        <x:v>최대</x:v>
      </x:c>
      <x:c r="J17" s="60"/>
      <x:c r="K17" s="60"/>
      <x:c r="L17" s="60"/>
      <x:c r="M17" s="60"/>
      <x:c r="N17" s="60"/>
      <x:c r="O17" s="60"/>
      <x:c r="P17" s="57"/>
      <x:c r="Q17" s="25" t="str">
        <x:f>IF(OR(H17="",I17="",J17=""),"INPUT",IF(I17="최대",IF(J17&lt;=H17,"PASS","FAIL"),IF(I17="최소",IF(J17&gt;=H17,"PASS","FAIL"),IF(I17="일치",IF(J17=H17,"PASS","FAIL"),"CHECK"))))</x:f>
        <x:v>INPUT</x:v>
      </x:c>
      <x:c r="R17" s="57" t="str">
        <x:v>미실행</x:v>
      </x:c>
      <x:c r="S17" s="57"/>
      <x:c r="T17" s="57" t="str">
        <x:v>backoff 포함</x:v>
      </x:c>
      <x:c r="U17" s="57"/>
    </x:row>
    <x:row r="18">
      <x:c r="A18" s="25" t="str">
        <x:v>R-03</x:v>
      </x:c>
      <x:c r="B18" s="58"/>
      <x:c r="C18" s="57"/>
      <x:c r="D18" s="25" t="str">
        <x:v>복구·안전</x:v>
      </x:c>
      <x:c r="E18" s="25" t="str">
        <x:v>DAC 통신 장애</x:v>
      </x:c>
      <x:c r="F18" s="25" t="str">
        <x:v>DAC fault 전이</x:v>
      </x:c>
      <x:c r="G18" s="25" t="str">
        <x:v>ms</x:v>
      </x:c>
      <x:c r="H18" s="59" t="n">
        <x:v>50</x:v>
      </x:c>
      <x:c r="I18" s="59" t="str">
        <x:v>최대</x:v>
      </x:c>
      <x:c r="J18" s="60"/>
      <x:c r="K18" s="60"/>
      <x:c r="L18" s="60"/>
      <x:c r="M18" s="60"/>
      <x:c r="N18" s="60"/>
      <x:c r="O18" s="60"/>
      <x:c r="P18" s="57"/>
      <x:c r="Q18" s="25" t="str">
        <x:f>IF(OR(H18="",I18="",J18=""),"INPUT",IF(I18="최대",IF(J18&lt;=H18,"PASS","FAIL"),IF(I18="최소",IF(J18&gt;=H18,"PASS","FAIL"),IF(I18="일치",IF(J18=H18,"PASS","FAIL"),"CHECK"))))</x:f>
        <x:v>INPUT</x:v>
      </x:c>
      <x:c r="R18" s="57" t="str">
        <x:v>미실행</x:v>
      </x:c>
      <x:c r="S18" s="57"/>
      <x:c r="T18" s="57" t="str">
        <x:v>출력 안전 상태 확인</x:v>
      </x:c>
      <x:c r="U18" s="57"/>
    </x:row>
    <x:row r="19">
      <x:c r="A19" s="25" t="str">
        <x:v>R-04</x:v>
      </x:c>
      <x:c r="B19" s="58"/>
      <x:c r="C19" s="57"/>
      <x:c r="D19" s="25" t="str">
        <x:v>복구·안전</x:v>
      </x:c>
      <x:c r="E19" s="25" t="str">
        <x:v>LAN 미연결</x:v>
      </x:c>
      <x:c r="F19" s="25" t="str">
        <x:v>watchdog 재부팅 반복</x:v>
      </x:c>
      <x:c r="G19" s="25" t="str">
        <x:v>count</x:v>
      </x:c>
      <x:c r="H19" s="59" t="n">
        <x:v>0</x:v>
      </x:c>
      <x:c r="I19" s="59" t="str">
        <x:v>일치</x:v>
      </x:c>
      <x:c r="J19" s="60"/>
      <x:c r="K19" s="60"/>
      <x:c r="L19" s="60"/>
      <x:c r="M19" s="60"/>
      <x:c r="N19" s="60"/>
      <x:c r="O19" s="60"/>
      <x:c r="P19" s="57"/>
      <x:c r="Q19" s="25" t="str">
        <x:f>IF(OR(H19="",I19="",J19=""),"INPUT",IF(I19="최대",IF(J19&lt;=H19,"PASS","FAIL"),IF(I19="최소",IF(J19&gt;=H19,"PASS","FAIL"),IF(I19="일치",IF(J19=H19,"PASS","FAIL"),"CHECK"))))</x:f>
        <x:v>INPUT</x:v>
      </x:c>
      <x:c r="R19" s="57" t="str">
        <x:v>미실행</x:v>
      </x:c>
      <x:c r="S19" s="57"/>
      <x:c r="T19" s="57" t="str">
        <x:v>10분 관찰</x:v>
      </x:c>
      <x:c r="U19" s="57"/>
    </x:row>
    <x:row r="20">
      <x:c r="A20" s="25" t="str">
        <x:v>L-01</x:v>
      </x:c>
      <x:c r="B20" s="58"/>
      <x:c r="C20" s="57"/>
      <x:c r="D20" s="25" t="str">
        <x:v>장시간 안정성</x:v>
      </x:c>
      <x:c r="E20" s="25" t="str">
        <x:v>Soak test</x:v>
      </x:c>
      <x:c r="F20" s="25" t="str">
        <x:v>연속 동작 시간</x:v>
      </x:c>
      <x:c r="G20" s="25" t="str">
        <x:v>h</x:v>
      </x:c>
      <x:c r="H20" s="59" t="n">
        <x:v>24</x:v>
      </x:c>
      <x:c r="I20" s="59" t="str">
        <x:v>최소</x:v>
      </x:c>
      <x:c r="J20" s="60"/>
      <x:c r="K20" s="60"/>
      <x:c r="L20" s="60"/>
      <x:c r="M20" s="60"/>
      <x:c r="N20" s="60"/>
      <x:c r="O20" s="60"/>
      <x:c r="P20" s="57"/>
      <x:c r="Q20" s="25" t="str">
        <x:f>IF(OR(H20="",I20="",J20=""),"INPUT",IF(I20="최대",IF(J20&lt;=H20,"PASS","FAIL"),IF(I20="최소",IF(J20&gt;=H20,"PASS","FAIL"),IF(I20="일치",IF(J20=H20,"PASS","FAIL"),"CHECK"))))</x:f>
        <x:v>INPUT</x:v>
      </x:c>
      <x:c r="R20" s="57" t="str">
        <x:v>미실행</x:v>
      </x:c>
      <x:c r="S20" s="57"/>
      <x:c r="T20" s="57" t="str">
        <x:v>reset/error/drop 기록</x:v>
      </x:c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256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1,980 Hz 이상 (명목 2 kSPS, ±1%)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평균 95–105 ms (명목 100 ms)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24" hidden="0" customWidth="1"/>
    <x:col min="5" max="5" width="15" hidden="0" customWidth="1"/>
    <x:col min="6" max="6" width="17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127" t="str">
        <x:v>CSV 캡처 이력 및 분석 결과</x:v>
      </x:c>
      <x:c r="B1" s="127"/>
      <x:c r="C1" s="127"/>
      <x:c r="D1" s="127"/>
      <x:c r="E1" s="127"/>
      <x:c r="F1" s="127"/>
      <x:c r="G1" s="127"/>
      <x:c r="H1" s="127"/>
      <x:c r="I1" s="127"/>
      <x:c r="J1" s="127"/>
      <x:c r="K1" s="127"/>
      <x:c r="L1" s="127"/>
      <x:c r="M1" s="127"/>
      <x:c r="N1" s="127"/>
      <x:c r="O1" s="127"/>
      <x:c r="P1" s="127"/>
    </x:row>
    <x:row r="3">
      <x:c r="A3" s="128" t="str">
        <x:v>모든 원본 CSV는 logs/에 보관합니다. PASS는 해당 캡처의 범위에서만 유효하며, 장시간·교정 시험은 별도 시험으로 확정합니다.</x:v>
      </x:c>
      <x:c r="B3" s="128"/>
      <x:c r="C3" s="128"/>
      <x:c r="D3" s="128"/>
      <x:c r="E3" s="128"/>
      <x:c r="F3" s="128"/>
      <x:c r="G3" s="128"/>
      <x:c r="H3" s="128"/>
      <x:c r="I3" s="128"/>
      <x:c r="J3" s="128"/>
      <x:c r="K3" s="128"/>
      <x:c r="L3" s="128"/>
      <x:c r="M3" s="128"/>
      <x:c r="N3" s="128"/>
      <x:c r="O3" s="128"/>
      <x:c r="P3" s="128"/>
    </x:row>
    <x:row r="5">
      <x:c r="A5" s="129" t="str">
        <x:v>CSV 파일</x:v>
      </x:c>
      <x:c r="B5" s="129" t="str">
        <x:v>시험 목적</x:v>
      </x:c>
      <x:c r="C5" s="129" t="str">
        <x:v>FW commit</x:v>
      </x:c>
      <x:c r="D5" s="129" t="str">
        <x:v>부팅 구간</x:v>
      </x:c>
      <x:c r="E5" s="129" t="str">
        <x:v>프레임</x:v>
      </x:c>
      <x:c r="F5" s="129" t="str">
        <x:v>PC 시간 (s)</x:v>
      </x:c>
      <x:c r="G5" s="129" t="str">
        <x:v>보드 시간 (s)</x:v>
      </x:c>
      <x:c r="H5" s="129" t="str">
        <x:v>시간비</x:v>
      </x:c>
      <x:c r="I5" s="129" t="str">
        <x:v>ADC rate (Hz)</x:v>
      </x:c>
      <x:c r="J5" s="129" t="str">
        <x:v>UDP 평균 (ms)</x:v>
      </x:c>
      <x:c r="K5" s="129" t="str">
        <x:v>UDP 범위 (ms)</x:v>
      </x:c>
      <x:c r="L5" s="129" t="str">
        <x:v>드랍 최대</x:v>
      </x:c>
      <x:c r="M5" s="129" t="str">
        <x:v>오류</x:v>
      </x:c>
      <x:c r="N5" s="129" t="str">
        <x:v>입력/조건</x:v>
      </x:c>
      <x:c r="O5" s="129" t="str">
        <x:v>판정</x:v>
      </x:c>
      <x:c r="P5" s="129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130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131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132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131" t="str">
        <x:v>PASS (예비)</x:v>
      </x:c>
      <x:c r="P9" s="100" t="str">
        <x:v>50.7 s 동안 10.0 Hz, 시간축 1:1, 모든 드랍 원인 0</x:v>
      </x:c>
    </x:row>
    <x:row r="10" ht="48" customHeight="1">
      <x:c r="A10" s="100" t="str">
        <x:v>cosmoke_capture_20260820_091833_148511.csv</x:v>
      </x:c>
      <x:c r="B10" s="100" t="str">
        <x:v>CH1·CH2 0 입력 오프셋</x:v>
      </x:c>
      <x:c r="C10" s="100" t="str">
        <x:v>4b7b1d3</x:v>
      </x:c>
      <x:c r="D10" s="100" t="str">
        <x:v>1</x:v>
      </x:c>
      <x:c r="E10" s="100" t="n">
        <x:v>4551</x:v>
      </x:c>
      <x:c r="F10" s="105" t="n">
        <x:v>454.995</x:v>
      </x:c>
      <x:c r="G10" s="105" t="n">
        <x:v>455</x:v>
      </x:c>
      <x:c r="H10" s="105" t="n">
        <x:v>1</x:v>
      </x:c>
      <x:c r="I10" s="105" t="n">
        <x:v>2000</x:v>
      </x:c>
      <x:c r="J10" s="105" t="n">
        <x:v>100</x:v>
      </x:c>
      <x:c r="K10" s="100" t="str">
        <x:v>100</x:v>
      </x:c>
      <x:c r="L10" s="106" t="n">
        <x:v>0</x:v>
      </x:c>
      <x:c r="M10" s="100" t="str">
        <x:v>CRC/SPI/DAC=0</x:v>
      </x:c>
      <x:c r="N10" s="100" t="str">
        <x:v>0 V / 0 A; final 5 min = 3,001 frames</x:v>
      </x:c>
      <x:c r="O10" s="131" t="str">
        <x:v>PASS</x:v>
      </x:c>
      <x:c r="P10" s="100" t="str">
        <x:v>보정 전 평균: I1 +12.466 mA, V1 -11.734 mV, I2 +11.331 mA, V2 +29.593 mV; OFFSET_UNITS 적용</x:v>
      </x:c>
    </x:row>
    <x:row r="11">
      <x:c r="A11" s="133" t="str">
        <x:v>현재 검증된 펌웨어 프로파일</x:v>
      </x:c>
      <x:c r="B11" s="133"/>
      <x:c r="C11" s="133"/>
      <x:c r="D11" s="133"/>
      <x:c r="E11" s="133"/>
      <x:c r="F11" s="133"/>
      <x:c r="G11" s="133"/>
      <x:c r="H11" s="133"/>
      <x:c r="I11" s="133"/>
      <x:c r="J11" s="133"/>
      <x:c r="K11" s="133"/>
      <x:c r="L11" s="133"/>
      <x:c r="M11" s="133"/>
      <x:c r="N11" s="133"/>
      <x:c r="O11" s="133"/>
      <x:c r="P11" s="133"/>
    </x:row>
    <x:row r="12">
      <x:c r="A12" s="134" t="str">
        <x:v>설정</x:v>
      </x:c>
      <x:c r="B12" s="134" t="str">
        <x:v>현재값</x:v>
      </x:c>
      <x:c r="C12" s="134" t="str">
        <x:v>근거</x:v>
      </x:c>
      <x:c r="D12" s="134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135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135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135" t="str">
        <x:v>검증됨</x:v>
      </x:c>
    </x:row>
    <x:row r="17">
      <x:c r="A17" s="133" t="str">
        <x:v>적용한 영점 보정값 (2026-08-20, 마지막 5분 평균)</x:v>
      </x:c>
      <x:c r="B17" s="133"/>
      <x:c r="C17" s="133"/>
      <x:c r="D17" s="133"/>
      <x:c r="E17" s="133"/>
      <x:c r="F17" s="133"/>
      <x:c r="G17" s="133"/>
      <x:c r="H17" s="133"/>
      <x:c r="I17" s="133"/>
      <x:c r="J17" s="133"/>
      <x:c r="K17" s="133"/>
      <x:c r="L17" s="133"/>
      <x:c r="M17" s="133"/>
      <x:c r="N17" s="133"/>
      <x:c r="O17" s="133"/>
      <x:c r="P17" s="133"/>
    </x:row>
    <x:row r="18">
      <x:c r="A18" s="134" t="str">
        <x:v>채널</x:v>
      </x:c>
      <x:c r="B18" s="134" t="str">
        <x:v>측정 평균</x:v>
      </x:c>
      <x:c r="C18" s="134" t="str">
        <x:v>단위</x:v>
      </x:c>
      <x:c r="D18" s="134" t="str">
        <x:v>펌웨어 매크로</x:v>
      </x:c>
      <x:c r="E18" s="134" t="str">
        <x:v>적용 OFFSET_UNITS</x:v>
      </x:c>
      <x:c r="F18" s="134" t="str">
        <x:v>CSV</x:v>
      </x:c>
    </x:row>
    <x:row r="19">
      <x:c r="A19" s="110" t="str">
        <x:v>CH1 Current</x:v>
      </x:c>
      <x:c r="B19" s="110" t="n">
        <x:v>12.466</x:v>
      </x:c>
      <x:c r="C19" s="110" t="str">
        <x:v>mA</x:v>
      </x:c>
      <x:c r="D19" s="110" t="str">
        <x:v>APP_CH0_OFFSET_UNITS</x:v>
      </x:c>
      <x:c r="E19" s="126" t="n">
        <x:v>-0.012466</x:v>
      </x:c>
      <x:c r="F19" s="110" t="str">
        <x:v>091833_148511</x:v>
      </x:c>
    </x:row>
    <x:row r="20">
      <x:c r="A20" s="110" t="str">
        <x:v>CH1 Voltage</x:v>
      </x:c>
      <x:c r="B20" s="110" t="n">
        <x:v>-11.734</x:v>
      </x:c>
      <x:c r="C20" s="110" t="str">
        <x:v>mV</x:v>
      </x:c>
      <x:c r="D20" s="110" t="str">
        <x:v>APP_CH1_OFFSET_UNITS</x:v>
      </x:c>
      <x:c r="E20" s="126" t="n">
        <x:v>0.011734</x:v>
      </x:c>
      <x:c r="F20" s="110" t="str">
        <x:v>091833_148511</x:v>
      </x:c>
    </x:row>
    <x:row r="21">
      <x:c r="A21" s="110" t="str">
        <x:v>CH2 Current</x:v>
      </x:c>
      <x:c r="B21" s="110" t="n">
        <x:v>11.331</x:v>
      </x:c>
      <x:c r="C21" s="110" t="str">
        <x:v>mA</x:v>
      </x:c>
      <x:c r="D21" s="110" t="str">
        <x:v>APP_CH2_OFFSET_UNITS</x:v>
      </x:c>
      <x:c r="E21" s="126" t="n">
        <x:v>-0.011331</x:v>
      </x:c>
      <x:c r="F21" s="110" t="str">
        <x:v>091833_148511</x:v>
      </x:c>
    </x:row>
    <x:row r="22">
      <x:c r="A22" s="110" t="str">
        <x:v>CH2 Voltage</x:v>
      </x:c>
      <x:c r="B22" s="110" t="n">
        <x:v>29.593</x:v>
      </x:c>
      <x:c r="C22" s="110" t="str">
        <x:v>mV</x:v>
      </x:c>
      <x:c r="D22" s="110" t="str">
        <x:v>APP_CH3_OFFSET_UNITS</x:v>
      </x:c>
      <x:c r="E22" s="126" t="n">
        <x:v>-0.029593</x:v>
      </x:c>
      <x:c r="F22" s="110" t="str">
        <x:v>091833_148511</x:v>
      </x:c>
    </x:row>
    <x:row r="24">
      <x:c r="A24" s="133" t="str">
        <x:v>추가 캡처: 양 채널 11 V / 5 A 장시간 부하 시험</x:v>
      </x:c>
      <x:c r="B24" s="133"/>
      <x:c r="C24" s="133"/>
      <x:c r="D24" s="133"/>
      <x:c r="E24" s="133"/>
      <x:c r="F24" s="133"/>
      <x:c r="G24" s="133"/>
      <x:c r="H24" s="133"/>
      <x:c r="I24" s="133"/>
      <x:c r="J24" s="133"/>
      <x:c r="K24" s="133"/>
      <x:c r="L24" s="133"/>
      <x:c r="M24" s="133"/>
      <x:c r="N24" s="133"/>
      <x:c r="O24" s="133"/>
      <x:c r="P24" s="133"/>
    </x:row>
    <x:row r="25">
      <x:c r="A25" s="129" t="str">
        <x:v>CSV 파일</x:v>
      </x:c>
      <x:c r="B25" s="129" t="str">
        <x:v>시험 목적</x:v>
      </x:c>
      <x:c r="C25" s="129" t="str">
        <x:v>FW commit</x:v>
      </x:c>
      <x:c r="D25" s="129" t="str">
        <x:v>부팅 구간</x:v>
      </x:c>
      <x:c r="E25" s="129" t="str">
        <x:v>프레임</x:v>
      </x:c>
      <x:c r="F25" s="129" t="str">
        <x:v>PC 시간 (s)</x:v>
      </x:c>
      <x:c r="G25" s="129" t="str">
        <x:v>보드 시간 (s)</x:v>
      </x:c>
      <x:c r="H25" s="129" t="str">
        <x:v>시간비</x:v>
      </x:c>
      <x:c r="I25" s="129" t="str">
        <x:v>ADC rate (Hz)</x:v>
      </x:c>
      <x:c r="J25" s="129" t="str">
        <x:v>UDP 평균 (ms)</x:v>
      </x:c>
      <x:c r="K25" s="129" t="str">
        <x:v>UDP 범위 (ms)</x:v>
      </x:c>
      <x:c r="L25" s="129" t="str">
        <x:v>드랍 최대</x:v>
      </x:c>
      <x:c r="M25" s="129" t="str">
        <x:v>오류</x:v>
      </x:c>
      <x:c r="N25" s="129" t="str">
        <x:v>입력/조건</x:v>
      </x:c>
      <x:c r="O25" s="129" t="str">
        <x:v>판정</x:v>
      </x:c>
      <x:c r="P25" s="129" t="str">
        <x:v>분석 메모</x:v>
      </x:c>
    </x:row>
    <x:row r="26" ht="52" customHeight="1">
      <x:c r="A26" s="100" t="str">
        <x:v>cosmoke_capture_20260820_094031_980220.csv</x:v>
      </x:c>
      <x:c r="B26" s="100" t="str">
        <x:v>양 채널 11 V / 5 A 27.7분</x:v>
      </x:c>
      <x:c r="C26" s="100" t="str">
        <x:v>4b7b1d3 (pre-gain)</x:v>
      </x:c>
      <x:c r="D26" s="100" t="str">
        <x:v>1</x:v>
      </x:c>
      <x:c r="E26" s="100" t="n">
        <x:v>16621</x:v>
      </x:c>
      <x:c r="F26" s="105" t="n">
        <x:v>1661.982</x:v>
      </x:c>
      <x:c r="G26" s="105" t="n">
        <x:v>1662</x:v>
      </x:c>
      <x:c r="H26" s="105" t="n">
        <x:v>1</x:v>
      </x:c>
      <x:c r="I26" s="105" t="n">
        <x:v>1999.931</x:v>
      </x:c>
      <x:c r="J26" s="105" t="n">
        <x:v>99.999</x:v>
      </x:c>
      <x:c r="K26" s="100" t="str">
        <x:v>0–218</x:v>
      </x:c>
      <x:c r="L26" s="106" t="n">
        <x:v>0</x:v>
      </x:c>
      <x:c r="M26" s="100" t="str">
        <x:v>CRC/SPI/DAC=0</x:v>
      </x:c>
      <x:c r="N26" s="100" t="str">
        <x:v>CH1+CH2 11 V / 5 A</x:v>
      </x:c>
      <x:c r="O26" s="131" t="str">
        <x:v>PASS (안정성)</x:v>
      </x:c>
      <x:c r="P26" s="100" t="str">
        <x:v>0 입력 구간 44프레임 제외. 게인 오차: I1 +5.97%, V1 +9.80%, I2 +3.32%, V2 +10.44%; SCALE_TRIM 적용 후 재시험 필요</x:v>
      </x:c>
    </x:row>
  </x:sheetData>
  <x:mergeCells>
    <x:mergeCell ref="A1:P1"/>
    <x:mergeCell ref="A3:P3"/>
    <x:mergeCell ref="A11:P11"/>
    <x:mergeCell ref="A17:P17"/>
    <x:mergeCell ref="A24:P24"/>
  </x:mergeCells>
  <x:pageMargins left="0.7" right="0.7" top="0.75" bottom="0.75" header="0.3" footer="0.3"/>
</x:worksheet>
</file>