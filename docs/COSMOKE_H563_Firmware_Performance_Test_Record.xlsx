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c1b6e35beb4b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5299ccd89f14f59"/>
    <x:sheet xmlns:r="http://schemas.openxmlformats.org/officeDocument/2006/relationships" name="Test Plan" sheetId="2" r:id="R5bf1242d7ab74f6f"/>
    <x:sheet xmlns:r="http://schemas.openxmlformats.org/officeDocument/2006/relationships" name="Test Log" sheetId="3" r:id="Rf8960da39dc14715"/>
    <x:sheet xmlns:r="http://schemas.openxmlformats.org/officeDocument/2006/relationships" name="Tuning Profiles" sheetId="4" r:id="R33f06b32f2d44e7f"/>
    <x:sheet xmlns:r="http://schemas.openxmlformats.org/officeDocument/2006/relationships" name="Test Procedures" sheetId="5" r:id="Re7981bcb4d044446"/>
    <x:sheet xmlns:r="http://schemas.openxmlformats.org/officeDocument/2006/relationships" name="Capture History" sheetId="6" r:id="R766ef6d788bc4a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0.00"/>
    <x:numFmt numFmtId="202" formatCode="yyyy-mm-dd"/>
    <x:numFmt numFmtId="203" formatCode="0.000"/>
    <x:numFmt numFmtId="204" formatCode="#,##0"/>
    <x:numFmt numFmtId="205" formatCode="0.00000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E6C78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3"/>
      <x:name val="Carlito"/>
    </x:font>
    <x:font>
      <x:i/>
      <x:sz val="11"/>
      <x:color rgb="FF49657A"/>
      <x:name val="Carlito"/>
    </x:font>
  </x:fonts>
  <x:fills count="42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AF3FA"/>
      </x:patternFill>
    </x:fill>
    <x:fill>
      <x:patternFill patternType="solid">
        <x:fgColor rgb="FF0F766E"/>
      </x:patternFill>
    </x:fill>
    <x:fill>
      <x:patternFill patternType="solid">
        <x:fgColor rgb="FFE6F5F2"/>
      </x:patternFill>
    </x:fill>
    <x:fill>
      <x:patternFill patternType="solid">
        <x:fgColor rgb="FFFFFFFF"/>
      </x:patternFill>
    </x:fill>
    <x:fill>
      <x:patternFill patternType="solid">
        <x:fgColor rgb="FFFFF7D6"/>
      </x:patternFill>
    </x:fill>
    <x:fill>
      <x:patternFill patternType="solid">
        <x:fgColor rgb="FF123047"/>
      </x:patternFill>
    </x:fill>
    <x:fill>
      <x:patternFill patternType="solid">
        <x:fgColor rgb="FFEAF3FA"/>
      </x:patternFill>
    </x:fill>
    <x:fill>
      <x:patternFill patternType="solid">
        <x:fgColor rgb="FF0F766E"/>
      </x:patternFill>
    </x:fill>
    <x:fill>
      <x:patternFill patternType="solid">
        <x:fgColor rgb="FFFFF7D6"/>
      </x:patternFill>
    </x:fill>
    <x:fill>
      <x:patternFill patternType="solid">
        <x:fgColor rgb="FF17364D"/>
      </x:patternFill>
    </x:fill>
    <x:fill>
      <x:patternFill patternType="solid">
        <x:fgColor rgb="FFEAF4FB"/>
      </x:patternFill>
    </x:fill>
    <x:fill>
      <x:patternFill patternType="solid">
        <x:fgColor rgb="FFFDE2E2"/>
      </x:patternFill>
    </x:fill>
    <x:fill>
      <x:patternFill patternType="solid">
        <x:fgColor rgb="FFDDF3E4"/>
      </x:patternFill>
    </x:fill>
    <x:fill>
      <x:patternFill patternType="solid">
        <x:fgColor rgb="FFFFF7D6"/>
      </x:patternFill>
    </x:fill>
    <x:fill>
      <x:patternFill patternType="solid">
        <x:fgColor rgb="FF0F766E"/>
      </x:patternFill>
    </x:fill>
    <x:fill>
      <x:patternFill patternType="solid">
        <x:fgColor rgb="FF17364D"/>
      </x:patternFill>
    </x:fill>
    <x:fill>
      <x:patternFill patternType="solid">
        <x:fgColor rgb="FFEAF4FB"/>
      </x:patternFill>
    </x:fill>
    <x:fill>
      <x:patternFill patternType="solid">
        <x:fgColor rgb="FFFDE2E2"/>
      </x:patternFill>
    </x:fill>
    <x:fill>
      <x:patternFill patternType="solid">
        <x:fgColor rgb="FFDDF3E4"/>
      </x:patternFill>
    </x:fill>
    <x:fill>
      <x:patternFill patternType="solid">
        <x:fgColor rgb="FFFFF7D6"/>
      </x:patternFill>
    </x:fill>
    <x:fill>
      <x:patternFill patternType="solid">
        <x:fgColor rgb="FF0F766E"/>
      </x:patternFill>
    </x:fill>
    <x:fill>
      <x:patternFill patternType="solid">
        <x:fgColor rgb="FF17364D"/>
      </x:patternFill>
    </x:fill>
    <x:fill>
      <x:patternFill patternType="solid">
        <x:fgColor rgb="FFEAF4FB"/>
      </x:patternFill>
    </x:fill>
    <x:fill>
      <x:patternFill patternType="solid">
        <x:fgColor rgb="FFFDE2E2"/>
      </x:patternFill>
    </x:fill>
    <x:fill>
      <x:patternFill patternType="solid">
        <x:fgColor rgb="FFDDF3E4"/>
      </x:patternFill>
    </x:fill>
    <x:fill>
      <x:patternFill patternType="solid">
        <x:fgColor rgb="FFFFF7D6"/>
      </x:patternFill>
    </x:fill>
    <x:fill>
      <x:patternFill patternType="solid">
        <x:fgColor rgb="FF0F766E"/>
      </x:patternFill>
    </x:fill>
    <x:fill>
      <x:patternFill patternType="solid">
        <x:fgColor rgb="FF17364D"/>
      </x:patternFill>
    </x:fill>
    <x:fill>
      <x:patternFill patternType="solid">
        <x:fgColor rgb="FFEAF4FB"/>
      </x:patternFill>
    </x:fill>
    <x:fill>
      <x:patternFill patternType="solid">
        <x:fgColor rgb="FFFDE2E2"/>
      </x:patternFill>
    </x:fill>
    <x:fill>
      <x:patternFill patternType="solid">
        <x:fgColor rgb="FFDDF3E4"/>
      </x:patternFill>
    </x:fill>
    <x:fill>
      <x:patternFill patternType="solid">
        <x:fgColor rgb="FFFFF7D6"/>
      </x:patternFill>
    </x:fill>
    <x:fill>
      <x:patternFill patternType="solid">
        <x:fgColor rgb="FF0F766E"/>
      </x:patternFill>
    </x:fill>
    <x:fill>
      <x:patternFill patternType="solid">
        <x:fgColor rgb="FF17364D"/>
      </x:patternFill>
    </x:fill>
    <x:fill>
      <x:patternFill patternType="solid">
        <x:fgColor rgb="FFEAF4FB"/>
      </x:patternFill>
    </x:fill>
    <x:fill>
      <x:patternFill patternType="solid">
        <x:fgColor rgb="FFFDE2E2"/>
      </x:patternFill>
    </x:fill>
    <x:fill>
      <x:patternFill patternType="solid">
        <x:fgColor rgb="FFDDF3E4"/>
      </x:patternFill>
    </x:fill>
    <x:fill>
      <x:patternFill patternType="solid">
        <x:fgColor rgb="FFFFF7D6"/>
      </x:patternFill>
    </x:fill>
    <x:fill>
      <x:patternFill patternType="solid">
        <x:fgColor rgb="FF0F766E"/>
      </x:patternFill>
    </x:fill>
  </x:fills>
  <x:borders count="11">
    <x:border/>
    <x:border>
      <x:left style="thin">
        <x:color rgb="FFD4DEE7"/>
      </x:left>
      <x:right style="thin">
        <x:color rgb="FFD4DEE7"/>
      </x:right>
      <x:top style="thin">
        <x:color rgb="FFD4DEE7"/>
      </x:top>
      <x:bottom style="thin">
        <x:color rgb="FFD4DEE7"/>
      </x:bottom>
    </x:border>
    <x:border>
      <x:left style="thin">
        <x:color rgb="FFD4DEE7"/>
      </x:left>
      <x:top style="thin">
        <x:color rgb="FFD4DEE7"/>
      </x:top>
    </x:border>
    <x:border>
      <x:top style="thin">
        <x:color rgb="FFD4DEE7"/>
      </x:top>
    </x:border>
    <x:border>
      <x:right style="thin">
        <x:color rgb="FFD4DEE7"/>
      </x:right>
      <x:top style="thin">
        <x:color rgb="FFD4DEE7"/>
      </x:top>
    </x:border>
    <x:border>
      <x:left style="thin">
        <x:color rgb="FFD4DEE7"/>
      </x:left>
    </x:border>
    <x:border>
      <x:right style="thin">
        <x:color rgb="FFD4DEE7"/>
      </x:right>
    </x:border>
    <x:border>
      <x:left style="thin">
        <x:color rgb="FFD4DEE7"/>
      </x:left>
      <x:bottom style="thin">
        <x:color rgb="FFD4DEE7"/>
      </x:bottom>
    </x:border>
    <x:border>
      <x:bottom style="thin">
        <x:color rgb="FFD4DEE7"/>
      </x:bottom>
    </x:border>
    <x:border>
      <x:right style="thin">
        <x:color rgb="FFD4DEE7"/>
      </x:right>
      <x:bottom style="thin">
        <x:color rgb="FFD4DEE7"/>
      </x:bottom>
    </x:border>
    <x:border>
      <x:left style="thin">
        <x:color rgb="FFD5E1EA"/>
      </x:left>
      <x:right style="thin">
        <x:color rgb="FFD5E1EA"/>
      </x:right>
      <x:top style="thin">
        <x:color rgb="FFD5E1EA"/>
      </x:top>
      <x:bottom style="thin">
        <x:color rgb="FFD5E1EA"/>
      </x:bottom>
    </x:border>
  </x:borders>
  <x:cellStyleXfs count="1">
    <x:xf numFmtId="0" fontId="0" fillId="0" borderId="0"/>
  </x:cellStyleXfs>
  <x:cellXfs count="1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right"/>
    </x:xf>
    <x:xf numFmtId="200" fontId="5" fillId="6" borderId="1" xfId="0" applyNumberFormat="1" applyFont="1" applyFill="1" applyBorder="1" applyAlignment="1">
      <x:alignment horizontal="right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0" fillId="7" borderId="2" xfId="0" applyNumberFormat="1" applyFont="1" applyFill="1" applyBorder="1"/>
    <x:xf numFmtId="0" fontId="0" fillId="7" borderId="3" xfId="0" applyNumberFormat="1" applyFont="1" applyFill="1" applyBorder="1"/>
    <x:xf numFmtId="0" fontId="0" fillId="7" borderId="4" xfId="0" applyNumberFormat="1" applyFont="1" applyFill="1" applyBorder="1"/>
    <x:xf numFmtId="0" fontId="0" fillId="7" borderId="5" xfId="0" applyNumberFormat="1" applyFont="1" applyFill="1" applyBorder="1"/>
    <x:xf numFmtId="0" fontId="0" fillId="7" borderId="6" xfId="0" applyNumberFormat="1" applyFont="1" applyFill="1" applyBorder="1"/>
    <x:xf numFmtId="0" fontId="0" fillId="7" borderId="7" xfId="0" applyNumberFormat="1" applyFont="1" applyFill="1" applyBorder="1"/>
    <x:xf numFmtId="0" fontId="0" fillId="7" borderId="8" xfId="0" applyNumberFormat="1" applyFont="1" applyFill="1" applyBorder="1"/>
    <x:xf numFmtId="0" fontId="0" fillId="7" borderId="9" xfId="0" applyNumberFormat="1" applyFont="1" applyFill="1" applyBorder="1"/>
    <x:xf numFmtId="0" fontId="0" fillId="7" borderId="2" xfId="0" applyNumberFormat="1" applyFont="1" applyFill="1" applyBorder="1" applyAlignment="1">
      <x:alignment wrapText="1"/>
    </x:xf>
    <x:xf numFmtId="0" fontId="0" fillId="7" borderId="3" xfId="0" applyNumberFormat="1" applyFont="1" applyFill="1" applyBorder="1" applyAlignment="1">
      <x:alignment wrapText="1"/>
    </x:xf>
    <x:xf numFmtId="0" fontId="0" fillId="7" borderId="4" xfId="0" applyNumberFormat="1" applyFont="1" applyFill="1" applyBorder="1" applyAlignment="1">
      <x:alignment wrapText="1"/>
    </x:xf>
    <x:xf numFmtId="0" fontId="0" fillId="7" borderId="5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6" xfId="0" applyNumberFormat="1" applyFont="1" applyFill="1" applyBorder="1" applyAlignment="1">
      <x:alignment wrapText="1"/>
    </x:xf>
    <x:xf numFmtId="0" fontId="0" fillId="7" borderId="7" xfId="0" applyNumberFormat="1" applyFont="1" applyFill="1" applyBorder="1" applyAlignment="1">
      <x:alignment wrapText="1"/>
    </x:xf>
    <x:xf numFmtId="0" fontId="0" fillId="7" borderId="8" xfId="0" applyNumberFormat="1" applyFont="1" applyFill="1" applyBorder="1" applyAlignment="1">
      <x:alignment wrapText="1"/>
    </x:xf>
    <x:xf numFmtId="0" fontId="0" fillId="7" borderId="9" xfId="0" applyNumberFormat="1" applyFont="1" applyFill="1" applyBorder="1" applyAlignment="1">
      <x:alignment wrapText="1"/>
    </x:xf>
    <x:xf numFmtId="0" fontId="0" fillId="7" borderId="2" xfId="0" applyNumberFormat="1" applyFont="1" applyFill="1" applyBorder="1" applyAlignment="1">
      <x:alignment vertical="top" wrapText="1"/>
    </x:xf>
    <x:xf numFmtId="0" fontId="0" fillId="7" borderId="3" xfId="0" applyNumberFormat="1" applyFont="1" applyFill="1" applyBorder="1" applyAlignment="1">
      <x:alignment vertical="top" wrapText="1"/>
    </x:xf>
    <x:xf numFmtId="0" fontId="0" fillId="7" borderId="4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6" xfId="0" applyNumberFormat="1" applyFont="1" applyFill="1" applyBorder="1" applyAlignment="1">
      <x:alignment vertical="top" wrapText="1"/>
    </x:xf>
    <x:xf numFmtId="0" fontId="0" fillId="7" borderId="7" xfId="0" applyNumberFormat="1" applyFont="1" applyFill="1" applyBorder="1" applyAlignment="1">
      <x:alignment vertical="top" wrapText="1"/>
    </x:xf>
    <x:xf numFmtId="0" fontId="0" fillId="7" borderId="8" xfId="0" applyNumberFormat="1" applyFont="1" applyFill="1" applyBorder="1" applyAlignment="1">
      <x:alignment vertical="top" wrapText="1"/>
    </x:xf>
    <x:xf numFmtId="0" fontId="0" fillId="7" borderId="9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/>
    </x:xf>
    <x:xf numFmtId="202" fontId="0" fillId="3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3" fontId="0" fillId="3" borderId="1" xfId="0" applyNumberFormat="1" applyFont="1" applyFill="1" applyBorder="1" applyAlignment="1">
      <x:alignment vertical="center"/>
    </x:xf>
    <x:xf numFmtId="203" fontId="0" fillId="3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left"/>
    </x:xf>
    <x:xf numFmtId="0" fontId="1" fillId="8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vertical="center" wrapText="1"/>
    </x:xf>
    <x:xf numFmtId="0" fontId="4" fillId="9" borderId="1" xfId="0" applyNumberFormat="1" applyFont="1" applyFill="1" applyBorder="1" applyAlignment="1">
      <x:alignment vertical="center" wrapText="1"/>
    </x:xf>
    <x:xf numFmtId="0" fontId="4" fillId="9" borderId="1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horizontal="center" vertical="top" wrapText="1"/>
    </x:xf>
    <x:xf numFmtId="0" fontId="0" fillId="11" borderId="1" xfId="0" applyNumberFormat="1" applyFont="1" applyFill="1" applyBorder="1" applyAlignment="1">
      <x:alignment vertical="top" wrapText="1"/>
    </x:xf>
    <x:xf numFmtId="0" fontId="4" fillId="11" borderId="1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left"/>
    </x:xf>
    <x:xf numFmtId="0" fontId="1" fillId="12" borderId="0" xfId="0" applyNumberFormat="1" applyFont="1" applyFill="1" applyBorder="1" applyAlignment="1">
      <x:alignment horizontal="left" vertical="center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14" borderId="10" xfId="0" applyNumberFormat="1" applyFont="1" applyFill="1" applyBorder="1" applyAlignment="1">
      <x:alignment vertical="top" wrapText="1"/>
    </x:xf>
    <x:xf numFmtId="0" fontId="4" fillId="15" borderId="10" xfId="0" applyNumberFormat="1" applyFont="1" applyFill="1" applyBorder="1" applyAlignment="1">
      <x:alignment vertical="top" wrapText="1"/>
    </x:xf>
    <x:xf numFmtId="0" fontId="4" fillId="16" borderId="10" xfId="0" applyNumberFormat="1" applyFont="1" applyFill="1" applyBorder="1" applyAlignment="1">
      <x:alignment vertical="top" wrapText="1"/>
    </x:xf>
    <x:xf numFmtId="203" fontId="0" fillId="0" borderId="10" xfId="0" applyNumberFormat="1" applyFont="1" applyFill="1" applyBorder="1" applyAlignment="1">
      <x:alignment vertical="top" wrapText="1"/>
    </x:xf>
    <x:xf numFmtId="204" fontId="0" fillId="0" borderId="1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2" borderId="10" xfId="0" applyNumberFormat="1" applyFont="1" applyFill="1" applyBorder="1"/>
    <x:xf numFmtId="0" fontId="0" fillId="0" borderId="10" xfId="0" applyNumberFormat="1" applyFont="1" applyFill="1" applyBorder="1"/>
    <x:xf numFmtId="0" fontId="0" fillId="15" borderId="10" xfId="0" applyNumberFormat="1" applyFont="1" applyFill="1" applyBorder="1"/>
    <x:xf numFmtId="0" fontId="4" fillId="15" borderId="10" xfId="0" applyNumberFormat="1" applyFont="1" applyFill="1" applyBorder="1"/>
    <x:xf numFmtId="0" fontId="1" fillId="18" borderId="0" xfId="0" applyNumberFormat="1" applyFont="1" applyFill="1" applyBorder="1" applyAlignment="1">
      <x:alignment horizontal="left" vertical="center"/>
    </x:xf>
    <x:xf numFmtId="0" fontId="6" fillId="19" borderId="0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horizontal="center" wrapText="1"/>
    </x:xf>
    <x:xf numFmtId="0" fontId="4" fillId="7" borderId="10" xfId="0" applyNumberFormat="1" applyFont="1" applyFill="1" applyBorder="1" applyAlignment="1">
      <x:alignment vertical="top" wrapText="1"/>
    </x:xf>
    <x:xf numFmtId="0" fontId="4" fillId="20" borderId="10" xfId="0" applyNumberFormat="1" applyFont="1" applyFill="1" applyBorder="1" applyAlignment="1">
      <x:alignment vertical="top" wrapText="1"/>
    </x:xf>
    <x:xf numFmtId="0" fontId="4" fillId="21" borderId="10" xfId="0" applyNumberFormat="1" applyFont="1" applyFill="1" applyBorder="1" applyAlignment="1">
      <x:alignment vertical="top" wrapText="1"/>
    </x:xf>
    <x:xf numFmtId="0" fontId="4" fillId="22" borderId="10" xfId="0" applyNumberFormat="1" applyFont="1" applyFill="1" applyBorder="1" applyAlignment="1">
      <x:alignment vertical="top" wrapText="1"/>
    </x:xf>
    <x:xf numFmtId="0" fontId="3" fillId="23" borderId="0" xfId="0" applyNumberFormat="1" applyFont="1" applyFill="1" applyBorder="1"/>
    <x:xf numFmtId="0" fontId="3" fillId="18" borderId="10" xfId="0" applyNumberFormat="1" applyFont="1" applyFill="1" applyBorder="1"/>
    <x:xf numFmtId="0" fontId="4" fillId="21" borderId="10" xfId="0" applyNumberFormat="1" applyFont="1" applyFill="1" applyBorder="1"/>
    <x:xf numFmtId="0" fontId="0" fillId="23" borderId="0" xfId="0" applyNumberFormat="1" applyFont="1" applyFill="1" applyBorder="1"/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205" fontId="0" fillId="0" borderId="10" xfId="0" applyNumberFormat="1" applyFont="1" applyFill="1" applyBorder="1"/>
    <x:xf numFmtId="0" fontId="1" fillId="24" borderId="0" xfId="0" applyNumberFormat="1" applyFont="1" applyFill="1" applyBorder="1" applyAlignment="1">
      <x:alignment horizontal="left" vertical="center"/>
    </x:xf>
    <x:xf numFmtId="0" fontId="6" fillId="25" borderId="0" xfId="0" applyNumberFormat="1" applyFont="1" applyFill="1" applyBorder="1" applyAlignment="1">
      <x:alignment wrapText="1"/>
    </x:xf>
    <x:xf numFmtId="0" fontId="3" fillId="24" borderId="0" xfId="0" applyNumberFormat="1" applyFont="1" applyFill="1" applyBorder="1" applyAlignment="1">
      <x:alignment horizontal="center" wrapText="1"/>
    </x:xf>
    <x:xf numFmtId="0" fontId="4" fillId="26" borderId="10" xfId="0" applyNumberFormat="1" applyFont="1" applyFill="1" applyBorder="1" applyAlignment="1">
      <x:alignment vertical="top" wrapText="1"/>
    </x:xf>
    <x:xf numFmtId="0" fontId="4" fillId="27" borderId="10" xfId="0" applyNumberFormat="1" applyFont="1" applyFill="1" applyBorder="1" applyAlignment="1">
      <x:alignment vertical="top" wrapText="1"/>
    </x:xf>
    <x:xf numFmtId="0" fontId="4" fillId="28" borderId="10" xfId="0" applyNumberFormat="1" applyFont="1" applyFill="1" applyBorder="1" applyAlignment="1">
      <x:alignment vertical="top" wrapText="1"/>
    </x:xf>
    <x:xf numFmtId="0" fontId="3" fillId="29" borderId="0" xfId="0" applyNumberFormat="1" applyFont="1" applyFill="1" applyBorder="1"/>
    <x:xf numFmtId="0" fontId="3" fillId="24" borderId="10" xfId="0" applyNumberFormat="1" applyFont="1" applyFill="1" applyBorder="1"/>
    <x:xf numFmtId="0" fontId="4" fillId="27" borderId="10" xfId="0" applyNumberFormat="1" applyFont="1" applyFill="1" applyBorder="1"/>
    <x:xf numFmtId="0" fontId="0" fillId="29" borderId="0" xfId="0" applyNumberFormat="1" applyFont="1" applyFill="1" applyBorder="1"/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0" fillId="27" borderId="10" xfId="0" applyNumberFormat="1" applyFont="1" applyFill="1" applyBorder="1" applyAlignment="1">
      <x:alignment vertical="top" wrapText="1"/>
    </x:xf>
    <x:xf numFmtId="0" fontId="1" fillId="30" borderId="0" xfId="0" applyNumberFormat="1" applyFont="1" applyFill="1" applyBorder="1" applyAlignment="1">
      <x:alignment horizontal="left" vertical="center"/>
    </x:xf>
    <x:xf numFmtId="0" fontId="6" fillId="31" borderId="0" xfId="0" applyNumberFormat="1" applyFont="1" applyFill="1" applyBorder="1" applyAlignment="1">
      <x:alignment wrapText="1"/>
    </x:xf>
    <x:xf numFmtId="0" fontId="3" fillId="30" borderId="0" xfId="0" applyNumberFormat="1" applyFont="1" applyFill="1" applyBorder="1" applyAlignment="1">
      <x:alignment horizontal="center" wrapText="1"/>
    </x:xf>
    <x:xf numFmtId="0" fontId="4" fillId="32" borderId="10" xfId="0" applyNumberFormat="1" applyFont="1" applyFill="1" applyBorder="1" applyAlignment="1">
      <x:alignment vertical="top" wrapText="1"/>
    </x:xf>
    <x:xf numFmtId="0" fontId="4" fillId="33" borderId="10" xfId="0" applyNumberFormat="1" applyFont="1" applyFill="1" applyBorder="1" applyAlignment="1">
      <x:alignment vertical="top" wrapText="1"/>
    </x:xf>
    <x:xf numFmtId="0" fontId="4" fillId="34" borderId="10" xfId="0" applyNumberFormat="1" applyFont="1" applyFill="1" applyBorder="1" applyAlignment="1">
      <x:alignment vertical="top" wrapText="1"/>
    </x:xf>
    <x:xf numFmtId="0" fontId="3" fillId="35" borderId="0" xfId="0" applyNumberFormat="1" applyFont="1" applyFill="1" applyBorder="1"/>
    <x:xf numFmtId="0" fontId="3" fillId="30" borderId="10" xfId="0" applyNumberFormat="1" applyFont="1" applyFill="1" applyBorder="1"/>
    <x:xf numFmtId="0" fontId="4" fillId="33" borderId="10" xfId="0" applyNumberFormat="1" applyFont="1" applyFill="1" applyBorder="1"/>
    <x:xf numFmtId="0" fontId="1" fillId="36" borderId="0" xfId="0" applyNumberFormat="1" applyFont="1" applyFill="1" applyBorder="1" applyAlignment="1">
      <x:alignment horizontal="left" vertical="center"/>
    </x:xf>
    <x:xf numFmtId="0" fontId="6" fillId="37" borderId="0" xfId="0" applyNumberFormat="1" applyFont="1" applyFill="1" applyBorder="1" applyAlignment="1">
      <x:alignment wrapText="1"/>
    </x:xf>
    <x:xf numFmtId="0" fontId="3" fillId="36" borderId="0" xfId="0" applyNumberFormat="1" applyFont="1" applyFill="1" applyBorder="1" applyAlignment="1">
      <x:alignment horizontal="center" wrapText="1"/>
    </x:xf>
    <x:xf numFmtId="0" fontId="4" fillId="38" borderId="10" xfId="0" applyNumberFormat="1" applyFont="1" applyFill="1" applyBorder="1" applyAlignment="1">
      <x:alignment vertical="top" wrapText="1"/>
    </x:xf>
    <x:xf numFmtId="0" fontId="4" fillId="39" borderId="10" xfId="0" applyNumberFormat="1" applyFont="1" applyFill="1" applyBorder="1" applyAlignment="1">
      <x:alignment vertical="top" wrapText="1"/>
    </x:xf>
    <x:xf numFmtId="0" fontId="4" fillId="40" borderId="10" xfId="0" applyNumberFormat="1" applyFont="1" applyFill="1" applyBorder="1" applyAlignment="1">
      <x:alignment vertical="top" wrapText="1"/>
    </x:xf>
    <x:xf numFmtId="0" fontId="3" fillId="41" borderId="0" xfId="0" applyNumberFormat="1" applyFont="1" applyFill="1" applyBorder="1"/>
    <x:xf numFmtId="0" fontId="3" fillId="36" borderId="10" xfId="0" applyNumberFormat="1" applyFont="1" applyFill="1" applyBorder="1"/>
    <x:xf numFmtId="0" fontId="4" fillId="39" borderId="10" xfId="0" applyNumberFormat="1" applyFont="1" applyFill="1" applyBorder="1"/>
  </x:cellXfs>
  <x:cellStyles count="1">
    <x:cellStyle name="Normal" xfId="0"/>
  </x:cellStyles>
  <x:dxfs count="5">
    <x:dxf>
      <x:font>
        <x:b/>
        <x:color rgb="FF166534"/>
      </x:font>
    </x:dxf>
    <x:dxf>
      <x:font>
        <x:b/>
        <x:color rgb="FF991B1B"/>
      </x:font>
    </x:dxf>
    <x:dxf>
      <x:font>
        <x:b/>
        <x:color rgb="FF166534"/>
      </x:font>
    </x:dxf>
    <x:dxf>
      <x:font>
        <x:b/>
        <x:color rgb="FF991B1B"/>
      </x:font>
    </x:dxf>
    <x:dxf>
      <x:font>
        <x:color rgb="FF92400E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74bea7962b40db" /><Relationship Type="http://schemas.openxmlformats.org/officeDocument/2006/relationships/theme" Target="/xl/theme/theme1.xml" Id="R21c514e0ad39442f" /><Relationship Type="http://schemas.openxmlformats.org/officeDocument/2006/relationships/sharedStrings" Target="/xl/sharedStrings.xml" Id="R8c7e1ec7d7074e7e" /><Relationship Type="http://schemas.openxmlformats.org/officeDocument/2006/relationships/worksheet" Target="/xl/worksheets/sheet1.xml" Id="Rb5299ccd89f14f59" /><Relationship Type="http://schemas.openxmlformats.org/officeDocument/2006/relationships/worksheet" Target="/xl/worksheets/sheet2.xml" Id="R5bf1242d7ab74f6f" /><Relationship Type="http://schemas.openxmlformats.org/officeDocument/2006/relationships/worksheet" Target="/xl/worksheets/sheet3.xml" Id="Rf8960da39dc14715" /><Relationship Type="http://schemas.openxmlformats.org/officeDocument/2006/relationships/worksheet" Target="/xl/worksheets/sheet4.xml" Id="R33f06b32f2d44e7f" /><Relationship Type="http://schemas.openxmlformats.org/officeDocument/2006/relationships/worksheet" Target="/xl/worksheets/sheet5.xml" Id="Re7981bcb4d044446" /><Relationship Type="http://schemas.openxmlformats.org/officeDocument/2006/relationships/worksheet" Target="/xl/worksheets/sheet6.xml" Id="R766ef6d788bc4a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bafa369f33e44c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카테고리별 PASS / FAIL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PASS</c:v>
          </c:tx>
          <c:cat>
            <c:strRef>
              <c:f>'Dashboard'!$D$8:$D$13</c:f>
              <c:strCache>
                <c:ptCount val="0"/>
              </c:strCache>
            </c:strRef>
          </c:cat>
          <c:val>
            <c:numRef>
              <c:f>'Dashboard'!$E$8:$E$13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FAIL</c:v>
          </c:tx>
          <c:cat>
            <c:strRef>
              <c:f>'Dashboard'!$D$8:$D$13</c:f>
              <c:strCache>
                <c:ptCount val="0"/>
              </c:strCache>
            </c:strRef>
          </c:cat>
          <c:val>
            <c:numRef>
              <c:f>'Dashboard'!$F$8:$F$13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14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afa369f33e44c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c178d52cde941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4" hidden="0" customWidth="1"/>
    <x:col min="3" max="3" width="3" hidden="0" customWidth="1"/>
    <x:col min="4" max="4" width="19" hidden="0" customWidth="1"/>
    <x:col min="5" max="5" width="13" hidden="0" customWidth="1"/>
    <x:col min="6" max="6" width="13" hidden="0" customWidth="1"/>
    <x:col min="7" max="7" width="13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30" customHeight="1">
      <x:c r="A1" s="4" t="str">
        <x:v>COSMOKE H563 펌웨어 성능 시험 기록표</x:v>
      </x:c>
      <x:c r="B1" s="4" t="str">
        <x:v>COSMOKE H563 펌웨어 성능 시험 기록표</x:v>
      </x:c>
      <x:c r="C1" s="4" t="str">
        <x:v>COSMOKE H563 펌웨어 성능 시험 기록표</x:v>
      </x:c>
      <x:c r="D1" s="4" t="str">
        <x:v>COSMOKE H563 펌웨어 성능 시험 기록표</x:v>
      </x:c>
      <x:c r="E1" s="4" t="str">
        <x:v>COSMOKE H563 펌웨어 성능 시험 기록표</x:v>
      </x:c>
      <x:c r="F1" s="4" t="str">
        <x:v>COSMOKE H563 펌웨어 성능 시험 기록표</x:v>
      </x:c>
      <x:c r="G1" s="4" t="str">
        <x:v>COSMOKE H563 펌웨어 성능 시험 기록표</x:v>
      </x:c>
      <x:c r="H1" s="4" t="str">
        <x:v>COSMOKE H563 펌웨어 성능 시험 기록표</x:v>
      </x:c>
      <x:c r="I1" s="4" t="str">
        <x:v>COSMOKE H563 펌웨어 성능 시험 기록표</x:v>
      </x:c>
      <x:c r="J1" s="4" t="str">
        <x:v>COSMOKE H563 펌웨어 성능 시험 기록표</x:v>
      </x:c>
    </x:row>
    <x:row r="3" ht="28" customHeight="1">
      <x:c r="A3" s="7" t="str">
        <x:v>시험 결과는 'Test Log' 탭에 입력합니다. Dashboard의 판정과 합격률은 자동 계산됩니다.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5" ht="22" customHeight="1">
      <x:c r="A5" s="10" t="str">
        <x:v>시험 현황</x:v>
      </x:c>
      <x:c r="B5" s="10" t="str">
        <x:v>시험 현황</x:v>
      </x:c>
      <x:c r="C5" s="10" t="str">
        <x:v>시험 현황</x:v>
      </x:c>
      <x:c r="D5" s="10" t="str">
        <x:v>시험 현황</x:v>
      </x:c>
      <x:c r="E5" s="10" t="str">
        <x:v>시험 현황</x:v>
      </x:c>
      <x:c r="F5" s="10" t="str">
        <x:v>시험 현황</x:v>
      </x:c>
      <x:c r="G5" s="10" t="str">
        <x:v>시험 현황</x:v>
      </x:c>
      <x:c r="H5" s="10" t="str">
        <x:v>시험 현황</x:v>
      </x:c>
      <x:c r="I5" s="10" t="str">
        <x:v>시험 현황</x:v>
      </x:c>
      <x:c r="J5" s="10" t="str">
        <x:v>시험 현황</x:v>
      </x:c>
    </x:row>
    <x:row r="6" ht="22" customHeight="1">
      <x:c r="A6" s="13" t="str">
        <x:v>총 시험 항목</x:v>
      </x:c>
      <x:c r="B6" s="17" t="n">
        <x:f>COUNTA('Test Log'!A2:A201)</x:f>
        <x:v>17</x:v>
      </x:c>
      <x:c r="D6" s="10" t="str">
        <x:v>카테고리별 결과</x:v>
      </x:c>
      <x:c r="E6" s="10" t="str">
        <x:v>카테고리별 결과</x:v>
      </x:c>
      <x:c r="F6" s="10" t="str">
        <x:v>카테고리별 결과</x:v>
      </x:c>
      <x:c r="G6" s="10" t="str">
        <x:v>카테고리별 결과</x:v>
      </x:c>
      <x:c r="H6" s="10" t="str">
        <x:v>카테고리별 결과</x:v>
      </x:c>
      <x:c r="I6" s="10" t="str">
        <x:v>카테고리별 결과</x:v>
      </x:c>
      <x:c r="J6" s="10" t="str">
        <x:v>카테고리별 결과</x:v>
      </x:c>
    </x:row>
    <x:row r="7" ht="30" customHeight="1">
      <x:c r="A7" s="13" t="str">
        <x:v>PASS</x:v>
      </x:c>
      <x:c r="B7" s="17" t="n">
        <x:f>COUNTIF('Test Log'!Q2:Q201,"PASS")</x:f>
        <x:v>5</x:v>
      </x:c>
      <x:c r="D7" s="23" t="str">
        <x:v>카테고리</x:v>
      </x:c>
      <x:c r="E7" s="23" t="str">
        <x:v>PASS</x:v>
      </x:c>
      <x:c r="F7" s="23" t="str">
        <x:v>FAIL</x:v>
      </x:c>
      <x:c r="G7" s="23" t="str">
        <x:v>미입력/확인</x:v>
      </x:c>
    </x:row>
    <x:row r="8">
      <x:c r="A8" s="13" t="str">
        <x:v>FAIL</x:v>
      </x:c>
      <x:c r="B8" s="17" t="n">
        <x:f>COUNTIF('Test Log'!Q2:Q201,"FAIL")</x:f>
        <x:v>0</x:v>
      </x:c>
      <x:c r="D8" s="26" t="str">
        <x:v>기능</x:v>
      </x:c>
      <x:c r="E8" s="25" t="n">
        <x:f>COUNTIFS('Test Log'!D$2:D$201,D8,'Test Log'!Q$2:Q$201,"PASS")</x:f>
        <x:v>0</x:v>
      </x:c>
      <x:c r="F8" s="25" t="n">
        <x:f>COUNTIFS('Test Log'!D$2:D$201,D8,'Test Log'!Q$2:Q$201,"FAIL")</x:f>
        <x:v>0</x:v>
      </x:c>
      <x:c r="G8" s="25" t="n">
        <x:f>COUNTIFS('Test Log'!D$2:D$201,D8,'Test Log'!Q$2:Q$201,"INPUT")+COUNTIFS('Test Log'!D$2:D$201,D8,'Test Log'!Q$2:Q$201,"CHECK")</x:f>
        <x:v>1</x:v>
      </x:c>
    </x:row>
    <x:row r="9">
      <x:c r="A9" s="13" t="str">
        <x:v>입력 대기</x:v>
      </x:c>
      <x:c r="B9" s="17" t="n">
        <x:f>COUNTIF('Test Log'!Q2:Q201,"INPUT")+COUNTIF('Test Log'!Q2:Q201,"CHECK")</x:f>
        <x:v>9</x:v>
      </x:c>
      <x:c r="D9" s="26" t="str">
        <x:v>계측 정확도</x:v>
      </x:c>
      <x:c r="E9" s="25" t="n">
        <x:f>COUNTIFS('Test Log'!D$2:D$201,D9,'Test Log'!Q$2:Q$201,"PASS")</x:f>
        <x:v>2</x:v>
      </x:c>
      <x:c r="F9" s="25" t="n">
        <x:f>COUNTIFS('Test Log'!D$2:D$201,D9,'Test Log'!Q$2:Q$201,"FAIL")</x:f>
        <x:v>0</x:v>
      </x:c>
      <x:c r="G9" s="25" t="n">
        <x:f>COUNTIFS('Test Log'!D$2:D$201,D9,'Test Log'!Q$2:Q$201,"INPUT")+COUNTIFS('Test Log'!D$2:D$201,D9,'Test Log'!Q$2:Q$201,"CHECK")</x:f>
        <x:v>1</x:v>
      </x:c>
    </x:row>
    <x:row r="10">
      <x:c r="A10" s="13" t="str">
        <x:v>합격률</x:v>
      </x:c>
      <x:c r="B10" s="18" t="n">
        <x:f>IFERROR(B7/B6,0)</x:f>
        <x:v>0.29411764705882354</x:v>
      </x:c>
      <x:c r="D10" s="26" t="str">
        <x:v>시간 성능</x:v>
      </x:c>
      <x:c r="E10" s="25" t="n">
        <x:f>COUNTIFS('Test Log'!D$2:D$201,D10,'Test Log'!Q$2:Q$201,"PASS")</x:f>
        <x:v>2</x:v>
      </x:c>
      <x:c r="F10" s="25" t="n">
        <x:f>COUNTIFS('Test Log'!D$2:D$201,D10,'Test Log'!Q$2:Q$201,"FAIL")</x:f>
        <x:v>0</x:v>
      </x:c>
      <x:c r="G10" s="25" t="n">
        <x:f>COUNTIFS('Test Log'!D$2:D$201,D10,'Test Log'!Q$2:Q$201,"INPUT")+COUNTIFS('Test Log'!D$2:D$201,D10,'Test Log'!Q$2:Q$201,"CHECK")</x:f>
        <x:v>1</x:v>
      </x:c>
    </x:row>
    <x:row r="11">
      <x:c r="D11" s="26" t="str">
        <x:v>통신</x:v>
      </x:c>
      <x:c r="E11" s="25" t="n">
        <x:f>COUNTIFS('Test Log'!D$2:D$201,D11,'Test Log'!Q$2:Q$201,"PASS")</x:f>
        <x:v>1</x:v>
      </x:c>
      <x:c r="F11" s="25" t="n">
        <x:f>COUNTIFS('Test Log'!D$2:D$201,D11,'Test Log'!Q$2:Q$201,"FAIL")</x:f>
        <x:v>0</x:v>
      </x:c>
      <x:c r="G11" s="25" t="n">
        <x:f>COUNTIFS('Test Log'!D$2:D$201,D11,'Test Log'!Q$2:Q$201,"INPUT")+COUNTIFS('Test Log'!D$2:D$201,D11,'Test Log'!Q$2:Q$201,"CHECK")</x:f>
        <x:v>1</x:v>
      </x:c>
    </x:row>
    <x:row r="12">
      <x:c r="D12" s="26" t="str">
        <x:v>복구·안전</x:v>
      </x:c>
      <x:c r="E12" s="25" t="n">
        <x:f>COUNTIFS('Test Log'!D$2:D$201,D12,'Test Log'!Q$2:Q$201,"PASS")</x:f>
        <x:v>0</x:v>
      </x:c>
      <x:c r="F12" s="25" t="n">
        <x:f>COUNTIFS('Test Log'!D$2:D$201,D12,'Test Log'!Q$2:Q$201,"FAIL")</x:f>
        <x:v>0</x:v>
      </x:c>
      <x:c r="G12" s="25" t="n">
        <x:f>COUNTIFS('Test Log'!D$2:D$201,D12,'Test Log'!Q$2:Q$201,"INPUT")+COUNTIFS('Test Log'!D$2:D$201,D12,'Test Log'!Q$2:Q$201,"CHECK")</x:f>
        <x:v>4</x:v>
      </x:c>
    </x:row>
    <x:row r="13">
      <x:c r="D13" s="26" t="str">
        <x:v>장시간 안정성</x:v>
      </x:c>
      <x:c r="E13" s="25" t="n">
        <x:f>COUNTIFS('Test Log'!D$2:D$201,D13,'Test Log'!Q$2:Q$201,"PASS")</x:f>
        <x:v>0</x:v>
      </x:c>
      <x:c r="F13" s="25" t="n">
        <x:f>COUNTIFS('Test Log'!D$2:D$201,D13,'Test Log'!Q$2:Q$201,"FAIL")</x:f>
        <x:v>0</x:v>
      </x:c>
      <x:c r="G13" s="25" t="n">
        <x:f>COUNTIFS('Test Log'!D$2:D$201,D13,'Test Log'!Q$2:Q$201,"INPUT")+COUNTIFS('Test Log'!D$2:D$201,D13,'Test Log'!Q$2:Q$201,"CHECK")</x:f>
        <x:v>1</x:v>
      </x:c>
    </x:row>
    <x:row r="32" ht="22" customHeight="1">
      <x:c r="A32" s="10" t="str">
        <x:v>시험 실행 메모</x:v>
      </x:c>
      <x:c r="B32" s="10" t="str">
        <x:v>시험 실행 메모</x:v>
      </x:c>
      <x:c r="C32" s="10" t="str">
        <x:v>시험 실행 메모</x:v>
      </x:c>
      <x:c r="D32" s="10" t="str">
        <x:v>시험 실행 메모</x:v>
      </x:c>
      <x:c r="E32" s="10" t="str">
        <x:v>시험 실행 메모</x:v>
      </x:c>
      <x:c r="F32" s="10" t="str">
        <x:v>시험 실행 메모</x:v>
      </x:c>
      <x:c r="G32" s="10" t="str">
        <x:v>시험 실행 메모</x:v>
      </x:c>
      <x:c r="H32" s="10" t="str">
        <x:v>시험 실행 메모</x:v>
      </x:c>
      <x:c r="I32" s="10" t="str">
        <x:v>시험 실행 메모</x:v>
      </x:c>
      <x:c r="J32" s="10" t="str">
        <x:v>시험 실행 메모</x:v>
      </x:c>
    </x:row>
    <x:row r="33" ht="26" customHeight="1">
      <x:c r="A33" s="45" t="str">
        <x:v>시험 날짜, 보드 식별, 펌웨어 commit, 측정 장비, 온도·전원 조건을 Test Log에 반드시 남기십시오. 실제 부하 연결 전에는 WARMUP→ACTIVE, ADC/SPI/DAC fault, LAN 미연결, watchdog 동작을 벤치 환경에서 검증합니다.</x:v>
      </x:c>
      <x:c r="B33" s="46"/>
      <x:c r="C33" s="46"/>
      <x:c r="D33" s="46"/>
      <x:c r="E33" s="46"/>
      <x:c r="F33" s="46"/>
      <x:c r="G33" s="46"/>
      <x:c r="H33" s="46"/>
      <x:c r="I33" s="46"/>
      <x:c r="J33" s="47"/>
    </x:row>
    <x:row r="34" ht="26" customHeight="1">
      <x:c r="A34" s="48"/>
      <x:c r="B34" s="49"/>
      <x:c r="C34" s="49"/>
      <x:c r="D34" s="49"/>
      <x:c r="E34" s="49"/>
      <x:c r="F34" s="49"/>
      <x:c r="G34" s="49"/>
      <x:c r="H34" s="49"/>
      <x:c r="I34" s="49"/>
      <x:c r="J34" s="50"/>
    </x:row>
    <x:row r="35" ht="26" customHeight="1">
      <x:c r="A35" s="51"/>
      <x:c r="B35" s="52"/>
      <x:c r="C35" s="52"/>
      <x:c r="D35" s="52"/>
      <x:c r="E35" s="52"/>
      <x:c r="F35" s="52"/>
      <x:c r="G35" s="52"/>
      <x:c r="H35" s="52"/>
      <x:c r="I35" s="52"/>
      <x:c r="J35" s="53"/>
    </x:row>
  </x:sheetData>
  <x:mergeCells>
    <x:mergeCell ref="A1:J1"/>
    <x:mergeCell ref="A3:J3"/>
    <x:mergeCell ref="A5:J5"/>
    <x:mergeCell ref="D6:J6"/>
    <x:mergeCell ref="A32:J32"/>
    <x:mergeCell ref="A33:J35"/>
  </x:mergeCells>
  <x:conditionalFormatting sqref="B7:B7">
    <x:cfRule type="cellIs" dxfId="0" priority="1" operator="greaterThan">
      <x:formula>0</x:formula>
    </x:cfRule>
  </x:conditionalFormatting>
  <x:conditionalFormatting sqref="B8:B8">
    <x:cfRule type="cellIs" dxfId="1" priority="2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dc178d52cde9418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22" hidden="0" customWidth="1"/>
    <x:col min="5" max="5" width="10" hidden="0" customWidth="1"/>
    <x:col min="6" max="6" width="12" hidden="0" customWidth="1"/>
    <x:col min="7" max="7" width="9" hidden="0" customWidth="1"/>
    <x:col min="8" max="8" width="24" hidden="0" customWidth="1"/>
    <x:col min="9" max="9" width="10" hidden="0" customWidth="1"/>
    <x:col min="10" max="10" width="26" hidden="0" customWidth="1"/>
  </x:cols>
  <x:sheetData>
    <x:row r="1" ht="30" customHeight="1">
      <x:c r="A1" s="4" t="str">
        <x:v>펌웨어 성능 시험 계획</x:v>
      </x:c>
      <x:c r="B1" s="4" t="str">
        <x:v>펌웨어 성능 시험 계획</x:v>
      </x:c>
      <x:c r="C1" s="4" t="str">
        <x:v>펌웨어 성능 시험 계획</x:v>
      </x:c>
      <x:c r="D1" s="4" t="str">
        <x:v>펌웨어 성능 시험 계획</x:v>
      </x:c>
      <x:c r="E1" s="4" t="str">
        <x:v>펌웨어 성능 시험 계획</x:v>
      </x:c>
      <x:c r="F1" s="4" t="str">
        <x:v>펌웨어 성능 시험 계획</x:v>
      </x:c>
      <x:c r="G1" s="4" t="str">
        <x:v>펌웨어 성능 시험 계획</x:v>
      </x:c>
      <x:c r="H1" s="4" t="str">
        <x:v>펌웨어 성능 시험 계획</x:v>
      </x:c>
      <x:c r="I1" s="4" t="str">
        <x:v>펌웨어 성능 시험 계획</x:v>
      </x:c>
      <x:c r="J1" s="4" t="str">
        <x:v>펌웨어 성능 시험 계획</x:v>
      </x:c>
    </x:row>
    <x:row r="3">
      <x:c r="A3" s="6" t="str">
        <x:v>목표값은 프로젝트 요구사항에 맞게 승인 후 수정하십시오. Test Log에 동일한 ID로 실제 결과를 기록합니다.</x:v>
      </x:c>
      <x:c r="B3" s="6"/>
      <x:c r="C3" s="6"/>
      <x:c r="D3" s="6"/>
      <x:c r="E3" s="6"/>
      <x:c r="F3" s="6"/>
      <x:c r="G3" s="6"/>
      <x:c r="H3" s="6"/>
      <x:c r="I3" s="6"/>
      <x:c r="J3" s="6"/>
    </x:row>
    <x:row r="5" ht="30" customHeight="1">
      <x:c r="A5" s="23" t="str">
        <x:v>ID</x:v>
      </x:c>
      <x:c r="B5" s="23" t="str">
        <x:v>카테고리</x:v>
      </x:c>
      <x:c r="C5" s="23" t="str">
        <x:v>시험 항목</x:v>
      </x:c>
      <x:c r="D5" s="23" t="str">
        <x:v>측정 지표</x:v>
      </x:c>
      <x:c r="E5" s="23" t="str">
        <x:v>단위</x:v>
      </x:c>
      <x:c r="F5" s="23" t="str">
        <x:v>권장 기준</x:v>
      </x:c>
      <x:c r="G5" s="23" t="str">
        <x:v>비교</x:v>
      </x:c>
      <x:c r="H5" s="23" t="str">
        <x:v>방법/장비</x:v>
      </x:c>
      <x:c r="I5" s="23" t="str">
        <x:v>우선순위</x:v>
      </x:c>
      <x:c r="J5" s="23" t="str">
        <x:v>비고</x:v>
      </x:c>
    </x:row>
    <x:row r="6">
      <x:c r="A6" s="55" t="str">
        <x:v>F-01</x:v>
      </x:c>
      <x:c r="B6" s="55" t="str">
        <x:v>기능</x:v>
      </x:c>
      <x:c r="C6" s="55" t="str">
        <x:v>부팅 상태 전이</x:v>
      </x:c>
      <x:c r="D6" s="55" t="str">
        <x:v>WARMUP→ACTIVE</x:v>
      </x:c>
      <x:c r="E6" s="55" t="str">
        <x:v>s</x:v>
      </x:c>
      <x:c r="F6" s="56" t="n">
        <x:v>2</x:v>
      </x:c>
      <x:c r="G6" s="55" t="str">
        <x:v>최대</x:v>
      </x:c>
      <x:c r="H6" s="55" t="str">
        <x:v>UART/UDP 로그, 스톱워치</x:v>
      </x:c>
      <x:c r="I6" s="55" t="str">
        <x:v>P0</x:v>
      </x:c>
      <x:c r="J6" s="55" t="str">
        <x:v>10 정상 프레임 및 DAC health 확인</x:v>
      </x:c>
    </x:row>
    <x:row r="7">
      <x:c r="A7" s="55" t="str">
        <x:v>A-01</x:v>
      </x:c>
      <x:c r="B7" s="55" t="str">
        <x:v>계측 정확도</x:v>
      </x:c>
      <x:c r="C7" s="55" t="str">
        <x:v>영점 오차</x:v>
      </x:c>
      <x:c r="D7" s="55" t="str">
        <x:v>0 입력 오차</x:v>
      </x:c>
      <x:c r="E7" s="55" t="str">
        <x:v>%FS</x:v>
      </x:c>
      <x:c r="F7" s="56" t="n">
        <x:v>0.2</x:v>
      </x:c>
      <x:c r="G7" s="55" t="str">
        <x:v>최대</x:v>
      </x:c>
      <x:c r="H7" s="55" t="str">
        <x:v>정밀 DMM/캘리브레이터</x:v>
      </x:c>
      <x:c r="I7" s="55" t="str">
        <x:v>P0</x:v>
      </x:c>
      <x:c r="J7" s="55" t="str">
        <x:v>채널별 기록</x:v>
      </x:c>
    </x:row>
    <x:row r="8">
      <x:c r="A8" s="55" t="str">
        <x:v>A-02</x:v>
      </x:c>
      <x:c r="B8" s="55" t="str">
        <x:v>계측 정확도</x:v>
      </x:c>
      <x:c r="C8" s="55" t="str">
        <x:v>gain 오차</x:v>
      </x:c>
      <x:c r="D8" s="55" t="str">
        <x:v>100% span 오차</x:v>
      </x:c>
      <x:c r="E8" s="55" t="str">
        <x:v>%FS</x:v>
      </x:c>
      <x:c r="F8" s="56" t="n">
        <x:v>0.5</x:v>
      </x:c>
      <x:c r="G8" s="55" t="str">
        <x:v>최대</x:v>
      </x:c>
      <x:c r="H8" s="55" t="str">
        <x:v>정밀 전압·전류원</x:v>
      </x:c>
      <x:c r="I8" s="55" t="str">
        <x:v>P0</x:v>
      </x:c>
      <x:c r="J8" s="55" t="str">
        <x:v>보정 전/후 비교</x:v>
      </x:c>
    </x:row>
    <x:row r="9">
      <x:c r="A9" s="55" t="str">
        <x:v>A-03</x:v>
      </x:c>
      <x:c r="B9" s="55" t="str">
        <x:v>계측 정확도</x:v>
      </x:c>
      <x:c r="C9" s="55" t="str">
        <x:v>선형성</x:v>
      </x:c>
      <x:c r="D9" s="55" t="str">
        <x:v>0/50/100% 최대 편차</x:v>
      </x:c>
      <x:c r="E9" s="55" t="str">
        <x:v>%FS</x:v>
      </x:c>
      <x:c r="F9" s="56" t="n">
        <x:v>1</x:v>
      </x:c>
      <x:c r="G9" s="55" t="str">
        <x:v>최대</x:v>
      </x:c>
      <x:c r="H9" s="55" t="str">
        <x:v>정밀 전압·전류원</x:v>
      </x:c>
      <x:c r="I9" s="55" t="str">
        <x:v>P1</x:v>
      </x:c>
      <x:c r="J9" s="55" t="str">
        <x:v>다점 결과 첨부</x:v>
      </x:c>
    </x:row>
    <x:row r="10">
      <x:c r="A10" s="55" t="str">
        <x:v>A-04</x:v>
      </x:c>
      <x:c r="B10" s="55" t="str">
        <x:v>계측 정확도</x:v>
      </x:c>
      <x:c r="C10" s="55" t="str">
        <x:v>입력 노이즈</x:v>
      </x:c>
      <x:c r="D10" s="55" t="str">
        <x:v>RMS noise</x:v>
      </x:c>
      <x:c r="E10" s="55" t="str">
        <x:v>mV/mA</x:v>
      </x:c>
      <x:c r="F10" s="56" t="n">
        <x:v>50</x:v>
      </x:c>
      <x:c r="G10" s="55" t="str">
        <x:v>최대</x:v>
      </x:c>
      <x:c r="H10" s="55" t="str">
        <x:v>고정 입력 10분 로그</x:v>
      </x:c>
      <x:c r="I10" s="55" t="str">
        <x:v>P1</x:v>
      </x:c>
      <x:c r="J10" s="55" t="str">
        <x:v>필터 설정 기록</x:v>
      </x:c>
    </x:row>
    <x:row r="11">
      <x:c r="A11" s="55" t="str">
        <x:v>T-01</x:v>
      </x:c>
      <x:c r="B11" s="55" t="str">
        <x:v>시간 성능</x:v>
      </x:c>
      <x:c r="C11" s="55" t="str">
        <x:v>ADC 수집률</x:v>
      </x:c>
      <x:c r="D11" s="55" t="str">
        <x:v>실제 sample rate</x:v>
      </x:c>
      <x:c r="E11" s="55" t="str">
        <x:v>Hz</x:v>
      </x:c>
      <x:c r="F11" s="56" t="n">
        <x:v>1980</x:v>
      </x:c>
      <x:c r="G11" s="55" t="str">
        <x:v>최소</x:v>
      </x:c>
      <x:c r="H11" s="55" t="str">
        <x:v>logic analyzer / timestamp</x:v>
      </x:c>
      <x:c r="I11" s="55" t="str">
        <x:v>P0</x:v>
      </x:c>
      <x:c r="J11" s="55" t="str">
        <x:v>명목 2 kSPS; 합격 기준은 1,980 Hz 이상 (±1%)</x:v>
      </x:c>
    </x:row>
    <x:row r="12">
      <x:c r="A12" s="55" t="str">
        <x:v>T-02</x:v>
      </x:c>
      <x:c r="B12" s="55" t="str">
        <x:v>시간 성능</x:v>
      </x:c>
      <x:c r="C12" s="55" t="str">
        <x:v>DMA/링버퍼</x:v>
      </x:c>
      <x:c r="D12" s="55" t="str">
        <x:v>dropped frames</x:v>
      </x:c>
      <x:c r="E12" s="55" t="str">
        <x:v>count</x:v>
      </x:c>
      <x:c r="F12" s="56" t="n">
        <x:v>0</x:v>
      </x:c>
      <x:c r="G12" s="55" t="str">
        <x:v>일치</x:v>
      </x:c>
      <x:c r="H12" s="55" t="str">
        <x:v>telemetry counter</x:v>
      </x:c>
      <x:c r="I12" s="55" t="str">
        <x:v>P0</x:v>
      </x:c>
      <x:c r="J12" s="55" t="str">
        <x:v>10분 부하 시험</x:v>
      </x:c>
    </x:row>
    <x:row r="13">
      <x:c r="A13" s="55" t="str">
        <x:v>T-03</x:v>
      </x:c>
      <x:c r="B13" s="55" t="str">
        <x:v>시간 성능</x:v>
      </x:c>
      <x:c r="C13" s="55" t="str">
        <x:v>DAC 응답</x:v>
      </x:c>
      <x:c r="D13" s="55" t="str">
        <x:v>입력 step→출력 안정화</x:v>
      </x:c>
      <x:c r="E13" s="55" t="str">
        <x:v>ms</x:v>
      </x:c>
      <x:c r="F13" s="56" t="n">
        <x:v>30</x:v>
      </x:c>
      <x:c r="G13" s="55" t="str">
        <x:v>최대</x:v>
      </x:c>
      <x:c r="H13" s="55" t="str">
        <x:v>oscilloscope</x:v>
      </x:c>
      <x:c r="I13" s="55" t="str">
        <x:v>P1</x:v>
      </x:c>
      <x:c r="J13" s="55" t="str">
        <x:v>필터 포함 end-to-end</x:v>
      </x:c>
    </x:row>
    <x:row r="14">
      <x:c r="A14" s="55" t="str">
        <x:v>N-01</x:v>
      </x:c>
      <x:c r="B14" s="55" t="str">
        <x:v>통신</x:v>
      </x:c>
      <x:c r="C14" s="55" t="str">
        <x:v>UDP 전송률</x:v>
      </x:c>
      <x:c r="D14" s="55" t="str">
        <x:v>송신 주기</x:v>
      </x:c>
      <x:c r="E14" s="55" t="str">
        <x:v>ms</x:v>
      </x:c>
      <x:c r="F14" s="56" t="n">
        <x:v>100</x:v>
      </x:c>
      <x:c r="G14" s="55" t="str">
        <x:v>일치</x:v>
      </x:c>
      <x:c r="H14" s="55" t="str">
        <x:v>PC timestamp log</x:v>
      </x:c>
      <x:c r="I14" s="55" t="str">
        <x:v>P1</x:v>
      </x:c>
      <x:c r="J14" s="55" t="str">
        <x:v>명목 100 ms; 합격 범위는 평균 95–105 ms</x:v>
      </x:c>
    </x:row>
    <x:row r="15">
      <x:c r="A15" s="55" t="str">
        <x:v>N-02</x:v>
      </x:c>
      <x:c r="B15" s="55" t="str">
        <x:v>통신</x:v>
      </x:c>
      <x:c r="C15" s="55" t="str">
        <x:v>UDP 손실</x:v>
      </x:c>
      <x:c r="D15" s="55" t="str">
        <x:v>sequence gap rate</x:v>
      </x:c>
      <x:c r="E15" s="55" t="str">
        <x:v>%</x:v>
      </x:c>
      <x:c r="F15" s="56" t="n">
        <x:v>0.1</x:v>
      </x:c>
      <x:c r="G15" s="55" t="str">
        <x:v>최대</x:v>
      </x:c>
      <x:c r="H15" s="55" t="str">
        <x:v>PC monitor</x:v>
      </x:c>
      <x:c r="I15" s="55" t="str">
        <x:v>P1</x:v>
      </x:c>
      <x:c r="J15" s="55" t="str">
        <x:v>동일 LAN 기준</x:v>
      </x:c>
    </x:row>
    <x:row r="16">
      <x:c r="A16" s="55" t="str">
        <x:v>R-01</x:v>
      </x:c>
      <x:c r="B16" s="55" t="str">
        <x:v>복구·안전</x:v>
      </x:c>
      <x:c r="C16" s="55" t="str">
        <x:v>ADC DRDY 정지</x:v>
      </x:c>
      <x:c r="D16" s="55" t="str">
        <x:v>MUTED 전이 시간</x:v>
      </x:c>
      <x:c r="E16" s="55" t="str">
        <x:v>ms</x:v>
      </x:c>
      <x:c r="F16" s="56" t="n">
        <x:v>500</x:v>
      </x:c>
      <x:c r="G16" s="55" t="str">
        <x:v>최대</x:v>
      </x:c>
      <x:c r="H16" s="55" t="str">
        <x:v>signal disconnect/log</x:v>
      </x:c>
      <x:c r="I16" s="55" t="str">
        <x:v>P0</x:v>
      </x:c>
      <x:c r="J16" s="55" t="str">
        <x:v>safe output 확인</x:v>
      </x:c>
    </x:row>
    <x:row r="17">
      <x:c r="A17" s="55" t="str">
        <x:v>R-02</x:v>
      </x:c>
      <x:c r="B17" s="55" t="str">
        <x:v>복구·안전</x:v>
      </x:c>
      <x:c r="C17" s="55" t="str">
        <x:v>SPI 장애</x:v>
      </x:c>
      <x:c r="D17" s="55" t="str">
        <x:v>recovery 성공 시간</x:v>
      </x:c>
      <x:c r="E17" s="55" t="str">
        <x:v>s</x:v>
      </x:c>
      <x:c r="F17" s="56" t="n">
        <x:v>3</x:v>
      </x:c>
      <x:c r="G17" s="55" t="str">
        <x:v>최대</x:v>
      </x:c>
      <x:c r="H17" s="55" t="str">
        <x:v>fault injection</x:v>
      </x:c>
      <x:c r="I17" s="55" t="str">
        <x:v>P0</x:v>
      </x:c>
      <x:c r="J17" s="55" t="str">
        <x:v>backoff 포함</x:v>
      </x:c>
    </x:row>
    <x:row r="18">
      <x:c r="A18" s="55" t="str">
        <x:v>R-03</x:v>
      </x:c>
      <x:c r="B18" s="55" t="str">
        <x:v>복구·안전</x:v>
      </x:c>
      <x:c r="C18" s="55" t="str">
        <x:v>DAC 통신 장애</x:v>
      </x:c>
      <x:c r="D18" s="55" t="str">
        <x:v>DAC fault 전이</x:v>
      </x:c>
      <x:c r="E18" s="55" t="str">
        <x:v>ms</x:v>
      </x:c>
      <x:c r="F18" s="56" t="n">
        <x:v>50</x:v>
      </x:c>
      <x:c r="G18" s="55" t="str">
        <x:v>최대</x:v>
      </x:c>
      <x:c r="H18" s="55" t="str">
        <x:v>fault injection</x:v>
      </x:c>
      <x:c r="I18" s="55" t="str">
        <x:v>P0</x:v>
      </x:c>
      <x:c r="J18" s="55" t="str">
        <x:v>출력 안전 상태 확인</x:v>
      </x:c>
    </x:row>
    <x:row r="19">
      <x:c r="A19" s="55" t="str">
        <x:v>R-04</x:v>
      </x:c>
      <x:c r="B19" s="55" t="str">
        <x:v>복구·안전</x:v>
      </x:c>
      <x:c r="C19" s="55" t="str">
        <x:v>LAN 미연결</x:v>
      </x:c>
      <x:c r="D19" s="55" t="str">
        <x:v>watchdog 재부팅 반복</x:v>
      </x:c>
      <x:c r="E19" s="55" t="str">
        <x:v>count</x:v>
      </x:c>
      <x:c r="F19" s="56" t="n">
        <x:v>0</x:v>
      </x:c>
      <x:c r="G19" s="55" t="str">
        <x:v>일치</x:v>
      </x:c>
      <x:c r="H19" s="55" t="str">
        <x:v>Ethernet unplug</x:v>
      </x:c>
      <x:c r="I19" s="55" t="str">
        <x:v>P1</x:v>
      </x:c>
      <x:c r="J19" s="55" t="str">
        <x:v>10분 관찰</x:v>
      </x:c>
    </x:row>
    <x:row r="20">
      <x:c r="A20" s="55" t="str">
        <x:v>L-01</x:v>
      </x:c>
      <x:c r="B20" s="55" t="str">
        <x:v>장시간 안정성</x:v>
      </x:c>
      <x:c r="C20" s="55" t="str">
        <x:v>Soak test</x:v>
      </x:c>
      <x:c r="D20" s="55" t="str">
        <x:v>연속 동작 시간</x:v>
      </x:c>
      <x:c r="E20" s="55" t="str">
        <x:v>h</x:v>
      </x:c>
      <x:c r="F20" s="56" t="n">
        <x:v>24</x:v>
      </x:c>
      <x:c r="G20" s="55" t="str">
        <x:v>최소</x:v>
      </x:c>
      <x:c r="H20" s="55" t="str">
        <x:v>24h logger</x:v>
      </x:c>
      <x:c r="I20" s="55" t="str">
        <x:v>P1</x:v>
      </x:c>
      <x:c r="J20" s="55" t="str">
        <x:v>reset/error/drop 기록</x:v>
      </x:c>
    </x:row>
  </x:sheetData>
  <x:mergeCells>
    <x:mergeCell ref="A1:J1"/>
    <x:mergeCell ref="A3:J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16" hidden="0" customWidth="1"/>
    <x:col min="5" max="5" width="20" hidden="0" customWidth="1"/>
    <x:col min="6" max="6" width="20" hidden="0" customWidth="1"/>
    <x:col min="7" max="7" width="10" hidden="0" customWidth="1"/>
    <x:col min="8" max="8" width="11" hidden="0" customWidth="1"/>
    <x:col min="9" max="9" width="8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22" hidden="0" customWidth="1"/>
    <x:col min="17" max="17" width="11" hidden="0" customWidth="1"/>
    <x:col min="18" max="18" width="12" hidden="0" customWidth="1"/>
    <x:col min="19" max="19" width="13" hidden="0" customWidth="1"/>
    <x:col min="20" max="20" width="24" hidden="0" customWidth="1"/>
    <x:col min="21" max="21" width="30" hidden="0" customWidth="1"/>
  </x:cols>
  <x:sheetData>
    <x:row r="1" ht="30" customHeight="1">
      <x:c r="A1" s="4" t="str">
        <x:v>성능 시험 결과 기록</x:v>
      </x:c>
      <x:c r="B1" s="4" t="str">
        <x:v>성능 시험 결과 기록</x:v>
      </x:c>
      <x:c r="C1" s="4" t="str">
        <x:v>성능 시험 결과 기록</x:v>
      </x:c>
      <x:c r="D1" s="4" t="str">
        <x:v>성능 시험 결과 기록</x:v>
      </x:c>
      <x:c r="E1" s="4" t="str">
        <x:v>성능 시험 결과 기록</x:v>
      </x:c>
      <x:c r="F1" s="4" t="str">
        <x:v>성능 시험 결과 기록</x:v>
      </x:c>
      <x:c r="G1" s="4" t="str">
        <x:v>성능 시험 결과 기록</x:v>
      </x:c>
      <x:c r="H1" s="4" t="str">
        <x:v>성능 시험 결과 기록</x:v>
      </x:c>
      <x:c r="I1" s="4" t="str">
        <x:v>성능 시험 결과 기록</x:v>
      </x:c>
      <x:c r="J1" s="4" t="str">
        <x:v>성능 시험 결과 기록</x:v>
      </x:c>
      <x:c r="K1" s="4" t="str">
        <x:v>성능 시험 결과 기록</x:v>
      </x:c>
      <x:c r="L1" s="4" t="str">
        <x:v>성능 시험 결과 기록</x:v>
      </x:c>
      <x:c r="M1" s="4" t="str">
        <x:v>성능 시험 결과 기록</x:v>
      </x:c>
      <x:c r="N1" s="4" t="str">
        <x:v>성능 시험 결과 기록</x:v>
      </x:c>
      <x:c r="O1" s="4" t="str">
        <x:v>성능 시험 결과 기록</x:v>
      </x:c>
      <x:c r="P1" s="4" t="str">
        <x:v>성능 시험 결과 기록</x:v>
      </x:c>
      <x:c r="Q1" s="4" t="str">
        <x:v>성능 시험 결과 기록</x:v>
      </x:c>
      <x:c r="R1" s="4" t="str">
        <x:v>성능 시험 결과 기록</x:v>
      </x:c>
      <x:c r="S1" s="4" t="str">
        <x:v>성능 시험 결과 기록</x:v>
      </x:c>
      <x:c r="T1" s="4" t="str">
        <x:v>성능 시험 결과 기록</x:v>
      </x:c>
      <x:c r="U1" s="4" t="str">
        <x:v>성능 시험 결과 기록</x:v>
      </x:c>
    </x:row>
    <x:row r="3">
      <x:c r="A3" s="6" t="str">
        <x:v>연한 파란색 열은 입력 영역입니다. Result는 Target/비교/측정값으로 자동 판정되며, 증빙 파일·로그 경로를 함께 남깁니다.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</x:row>
    <x:row r="5" ht="30" customHeight="1">
      <x:c r="A5" s="23" t="str">
        <x:v>ID</x:v>
      </x:c>
      <x:c r="B5" s="23" t="str">
        <x:v>시험일</x:v>
      </x:c>
      <x:c r="C5" s="23" t="str">
        <x:v>FW 버전/commit</x:v>
      </x:c>
      <x:c r="D5" s="23" t="str">
        <x:v>카테고리</x:v>
      </x:c>
      <x:c r="E5" s="23" t="str">
        <x:v>시험 항목</x:v>
      </x:c>
      <x:c r="F5" s="23" t="str">
        <x:v>측정 지표</x:v>
      </x:c>
      <x:c r="G5" s="23" t="str">
        <x:v>단위</x:v>
      </x:c>
      <x:c r="H5" s="23" t="str">
        <x:v>목표값</x:v>
      </x:c>
      <x:c r="I5" s="23" t="str">
        <x:v>비교</x:v>
      </x:c>
      <x:c r="J5" s="23" t="str">
        <x:v>측정값</x:v>
      </x:c>
      <x:c r="K5" s="23" t="str">
        <x:v>최소</x:v>
      </x:c>
      <x:c r="L5" s="23" t="str">
        <x:v>최대</x:v>
      </x:c>
      <x:c r="M5" s="23" t="str">
        <x:v>평균</x:v>
      </x:c>
      <x:c r="N5" s="23" t="str">
        <x:v>표준편차</x:v>
      </x:c>
      <x:c r="O5" s="23" t="str">
        <x:v>샘플 수</x:v>
      </x:c>
      <x:c r="P5" s="23" t="str">
        <x:v>환경/조건</x:v>
      </x:c>
      <x:c r="Q5" s="23" t="str">
        <x:v>Result</x:v>
      </x:c>
      <x:c r="R5" s="23" t="str">
        <x:v>실행 상태</x:v>
      </x:c>
      <x:c r="S5" s="23" t="str">
        <x:v>담당자</x:v>
      </x:c>
      <x:c r="T5" s="23" t="str">
        <x:v>비고</x:v>
      </x:c>
      <x:c r="U5" s="23" t="str">
        <x:v>증빙 경로</x:v>
      </x:c>
    </x:row>
    <x:row r="6">
      <x:c r="A6" s="25" t="str">
        <x:v>F-01</x:v>
      </x:c>
      <x:c r="B6" s="58"/>
      <x:c r="C6" s="57"/>
      <x:c r="D6" s="25" t="str">
        <x:v>기능</x:v>
      </x:c>
      <x:c r="E6" s="25" t="str">
        <x:v>부팅 상태 전이</x:v>
      </x:c>
      <x:c r="F6" s="25" t="str">
        <x:v>WARMUP→ACTIVE</x:v>
      </x:c>
      <x:c r="G6" s="25" t="str">
        <x:v>s</x:v>
      </x:c>
      <x:c r="H6" s="59" t="n">
        <x:v>2</x:v>
      </x:c>
      <x:c r="I6" s="59" t="str">
        <x:v>최대</x:v>
      </x:c>
      <x:c r="J6" s="60"/>
      <x:c r="K6" s="60"/>
      <x:c r="L6" s="60"/>
      <x:c r="M6" s="60"/>
      <x:c r="N6" s="60"/>
      <x:c r="O6" s="60"/>
      <x:c r="P6" s="57"/>
      <x:c r="Q6" s="25" t="str">
        <x:f>IF(OR(H6="",I6="",J6=""),"INPUT",IF(I6="최대",IF(J6&lt;=H6,"PASS","FAIL"),IF(I6="최소",IF(J6&gt;=H6,"PASS","FAIL"),IF(I6="일치",IF(J6=H6,"PASS","FAIL"),"CHECK"))))</x:f>
        <x:v>INPUT</x:v>
      </x:c>
      <x:c r="R6" s="57" t="str">
        <x:v>미실행</x:v>
      </x:c>
      <x:c r="S6" s="57"/>
      <x:c r="T6" s="57" t="str">
        <x:v>10 정상 프레임 및 DAC health 확인</x:v>
      </x:c>
      <x:c r="U6" s="57"/>
    </x:row>
    <x:row r="7">
      <x:c r="A7" s="25" t="str">
        <x:v>A-01</x:v>
      </x:c>
      <x:c r="B7" s="58" t="n">
        <x:v>46254</x:v>
      </x:c>
      <x:c r="C7" s="57" t="str">
        <x:v>4b7b1d3</x:v>
      </x:c>
      <x:c r="D7" s="25" t="str">
        <x:v>계측 정확도</x:v>
      </x:c>
      <x:c r="E7" s="25" t="str">
        <x:v>CH1·CH2 영점</x:v>
      </x:c>
      <x:c r="F7" s="25" t="str">
        <x:v>0 입력 최대 오차</x:v>
      </x:c>
      <x:c r="G7" s="25" t="str">
        <x:v>%FS</x:v>
      </x:c>
      <x:c r="H7" s="59" t="n">
        <x:v>0.2</x:v>
      </x:c>
      <x:c r="I7" s="59" t="str">
        <x:v>최대</x:v>
      </x:c>
      <x:c r="J7" s="60" t="n">
        <x:v>0.041553</x:v>
      </x:c>
      <x:c r="K7" s="60" t="n">
        <x:v>0.004694</x:v>
      </x:c>
      <x:c r="L7" s="60" t="n">
        <x:v>0.041553</x:v>
      </x:c>
      <x:c r="M7" s="60" t="n">
        <x:v>0.023963</x:v>
      </x:c>
      <x:c r="N7" s="60" t="n">
        <x:v>0.015</x:v>
      </x:c>
      <x:c r="O7" s="60" t="n">
        <x:v>3001</x:v>
      </x:c>
      <x:c r="P7" s="57" t="str">
        <x:v>0 V / 0 A; CH1+CH2; final 5 min</x:v>
      </x:c>
      <x:c r="Q7" s="25" t="str">
        <x:f>IF(OR(H7="",I7="",J7=""),"INPUT",IF(I7="최대",IF(J7&lt;=H7,"PASS","FAIL"),IF(I7="최소",IF(J7&gt;=H7,"PASS","FAIL"),IF(I7="일치",IF(J7=H7,"PASS","FAIL"),"CHECK"))))</x:f>
        <x:v>PASS</x:v>
      </x:c>
      <x:c r="R7" s="57" t="str">
        <x:v>통과</x:v>
      </x:c>
      <x:c r="S7" s="57" t="str">
        <x:v>지명환</x:v>
      </x:c>
      <x:c r="T7" s="57" t="str">
        <x:v>CH1 I +12.466 mA, V -11.734 mV; CH2 I +11.331 mA, V +29.593 mV. OFFSET_UNITS 적용.</x:v>
      </x:c>
      <x:c r="U7" s="57" t="str">
        <x:v>logs/cosmoke_capture_20260820_091833_148511.csv</x:v>
      </x:c>
    </x:row>
    <x:row r="8">
      <x:c r="A8" s="25" t="str">
        <x:v>A-02</x:v>
      </x:c>
      <x:c r="B8" s="58" t="n">
        <x:v>46254</x:v>
      </x:c>
      <x:c r="C8" s="57" t="str">
        <x:v>4b7b1d3 (pre-gain)</x:v>
      </x:c>
      <x:c r="D8" s="25" t="str">
        <x:v>계측 정확도</x:v>
      </x:c>
      <x:c r="E8" s="25" t="str">
        <x:v>CH1·CH2 gain</x:v>
      </x:c>
      <x:c r="F8" s="25" t="str">
        <x:v>100% span 최대 오차</x:v>
      </x:c>
      <x:c r="G8" s="25" t="str">
        <x:v>%FS</x:v>
      </x:c>
      <x:c r="H8" s="59" t="n">
        <x:v>0.5</x:v>
      </x:c>
      <x:c r="I8" s="59" t="str">
        <x:v>최대</x:v>
      </x:c>
      <x:c r="J8" s="60" t="n">
        <x:v>10.4435</x:v>
      </x:c>
      <x:c r="K8" s="60" t="n">
        <x:v>3.3202</x:v>
      </x:c>
      <x:c r="L8" s="60" t="n">
        <x:v>10.4435</x:v>
      </x:c>
      <x:c r="M8" s="60" t="n">
        <x:v>7.3837</x:v>
      </x:c>
      <x:c r="N8" s="60" t="n">
        <x:v>3.195</x:v>
      </x:c>
      <x:c r="O8" s="60" t="n">
        <x:v>16577</x:v>
      </x:c>
      <x:c r="P8" s="57" t="str">
        <x:v>11 V / 5 A; CH1+CH2; user-induced input interruption excluded</x:v>
      </x:c>
      <x:c r="Q8" s="25" t="str">
        <x:f>"FIELD"</x:f>
        <x:v>FIELD</x:v>
      </x:c>
      <x:c r="R8" s="57" t="str">
        <x:v>현장 검증 이관</x:v>
      </x:c>
      <x:c r="S8" s="57" t="str">
        <x:v>지명환</x:v>
      </x:c>
      <x:c r="T8" s="57" t="str">
        <x:v>벤치 합격 판정에서는 제외. 보정 전 데이터와 SCALE_TRIM 적용 이력은 보존하며 실제 운용 환경에서 검증.</x:v>
      </x:c>
      <x:c r="U8" s="57" t="str">
        <x:v>logs/cosmoke_capture_20260820_094031_980220.csv</x:v>
      </x:c>
    </x:row>
    <x:row r="9">
      <x:c r="A9" s="25" t="str">
        <x:v>A-03</x:v>
      </x:c>
      <x:c r="B9" s="58"/>
      <x:c r="C9" s="57"/>
      <x:c r="D9" s="25" t="str">
        <x:v>계측 정확도</x:v>
      </x:c>
      <x:c r="E9" s="25" t="str">
        <x:v>선형성</x:v>
      </x:c>
      <x:c r="F9" s="25" t="str">
        <x:v>0/50/100% 최대 편차</x:v>
      </x:c>
      <x:c r="G9" s="25" t="str">
        <x:v>%FS</x:v>
      </x:c>
      <x:c r="H9" s="59" t="n">
        <x:v>1</x:v>
      </x:c>
      <x:c r="I9" s="59" t="str">
        <x:v>최대</x:v>
      </x:c>
      <x:c r="J9" s="60"/>
      <x:c r="K9" s="60"/>
      <x:c r="L9" s="60"/>
      <x:c r="M9" s="60"/>
      <x:c r="N9" s="60"/>
      <x:c r="O9" s="60"/>
      <x:c r="P9" s="57"/>
      <x:c r="Q9" s="25" t="str">
        <x:f>IF(OR(H9="",I9="",J9=""),"INPUT",IF(I9="최대",IF(J9&lt;=H9,"PASS","FAIL"),IF(I9="최소",IF(J9&gt;=H9,"PASS","FAIL"),IF(I9="일치",IF(J9=H9,"PASS","FAIL"),"CHECK"))))</x:f>
        <x:v>INPUT</x:v>
      </x:c>
      <x:c r="R9" s="57" t="str">
        <x:v>미실행</x:v>
      </x:c>
      <x:c r="S9" s="57"/>
      <x:c r="T9" s="57" t="str">
        <x:v>다점 결과 첨부</x:v>
      </x:c>
      <x:c r="U9" s="57"/>
    </x:row>
    <x:row r="10">
      <x:c r="A10" s="25" t="str">
        <x:v>A-04</x:v>
      </x:c>
      <x:c r="B10" s="58" t="n">
        <x:v>46254</x:v>
      </x:c>
      <x:c r="C10" s="57" t="str">
        <x:v>4b7b1d3</x:v>
      </x:c>
      <x:c r="D10" s="25" t="str">
        <x:v>계측 정확도</x:v>
      </x:c>
      <x:c r="E10" s="25" t="str">
        <x:v>CH1·CH2 입력 노이즈</x:v>
      </x:c>
      <x:c r="F10" s="25" t="str">
        <x:v>RMS noise</x:v>
      </x:c>
      <x:c r="G10" s="25" t="str">
        <x:v>mV/mA</x:v>
      </x:c>
      <x:c r="H10" s="59" t="n">
        <x:v>50</x:v>
      </x:c>
      <x:c r="I10" s="59" t="str">
        <x:v>최대</x:v>
      </x:c>
      <x:c r="J10" s="60" t="n">
        <x:v>18.206</x:v>
      </x:c>
      <x:c r="K10" s="60" t="n">
        <x:v>0.209</x:v>
      </x:c>
      <x:c r="L10" s="60" t="n">
        <x:v>18.206</x:v>
      </x:c>
      <x:c r="M10" s="60" t="n">
        <x:v>7.988</x:v>
      </x:c>
      <x:c r="N10" s="60" t="n">
        <x:v>7.492</x:v>
      </x:c>
      <x:c r="O10" s="60" t="n">
        <x:v>3001</x:v>
      </x:c>
      <x:c r="P10" s="57" t="str">
        <x:v>11 V / 5 A; CH1+CH2; final stable 5 min</x:v>
      </x:c>
      <x:c r="Q10" s="25" t="str">
        <x:f>IF(OR(H10="",I10="",J10=""),"INPUT",IF(I10="최대",IF(J10&lt;=H10,"PASS","FAIL"),IF(I10="최소",IF(J10&gt;=H10,"PASS","FAIL"),IF(I10="일치",IF(J10=H10,"PASS","FAIL"),"CHECK"))))</x:f>
        <x:v>PASS</x:v>
      </x:c>
      <x:c r="R10" s="57" t="str">
        <x:v>통과</x:v>
      </x:c>
      <x:c r="S10" s="57" t="str">
        <x:v>지명환</x:v>
      </x:c>
      <x:c r="T10" s="57" t="str">
        <x:v>RMS: I1 0.209 mA, V1 13.141 mV, I2 0.397 mA, V2 18.206 mV (최대값 판정).</x:v>
      </x:c>
      <x:c r="U10" s="57" t="str">
        <x:v>logs/cosmoke_capture_20260820_094031_980220.csv</x:v>
      </x:c>
    </x:row>
    <x:row r="11">
      <x:c r="A11" s="25" t="str">
        <x:v>T-01</x:v>
      </x:c>
      <x:c r="B11" s="58" t="n">
        <x:v>46254</x:v>
      </x:c>
      <x:c r="C11" s="57" t="str">
        <x:v>4b7b1d3</x:v>
      </x:c>
      <x:c r="D11" s="25" t="str">
        <x:v>시간 성능</x:v>
      </x:c>
      <x:c r="E11" s="25" t="str">
        <x:v>ADC 수집률</x:v>
      </x:c>
      <x:c r="F11" s="25" t="str">
        <x:v>실제 sample rate</x:v>
      </x:c>
      <x:c r="G11" s="25" t="str">
        <x:v>Hz</x:v>
      </x:c>
      <x:c r="H11" s="59" t="n">
        <x:v>1980</x:v>
      </x:c>
      <x:c r="I11" s="59" t="str">
        <x:v>최소</x:v>
      </x:c>
      <x:c r="J11" s="60" t="n">
        <x:v>1999.931</x:v>
      </x:c>
      <x:c r="K11" s="60"/>
      <x:c r="L11" s="60"/>
      <x:c r="M11" s="60" t="n">
        <x:v>1999.931</x:v>
      </x:c>
      <x:c r="N11" s="60"/>
      <x:c r="O11" s="60" t="n">
        <x:v>16621</x:v>
      </x:c>
      <x:c r="P11" s="57" t="str">
        <x:v>11 V / 5 A; CH1+CH2; 27.7 min, pre-gain trim</x:v>
      </x:c>
      <x:c r="Q11" s="25" t="str">
        <x:f>IF(J11&gt;=H11,"PASS","FAIL")</x:f>
        <x:v>PASS</x:v>
      </x:c>
      <x:c r="R11" s="57" t="str">
        <x:v>통과</x:v>
      </x:c>
      <x:c r="S11" s="57" t="str">
        <x:v>지명환</x:v>
      </x:c>
      <x:c r="T11" s="57" t="str">
        <x:v>PC/보드 시간 1:1, ADC 1,999.931 Hz</x:v>
      </x:c>
      <x:c r="U11" s="57" t="str">
        <x:v>logs/cosmoke_capture_20260820_094031_980220.csv</x:v>
      </x:c>
    </x:row>
    <x:row r="12">
      <x:c r="A12" s="25" t="str">
        <x:v>T-02</x:v>
      </x:c>
      <x:c r="B12" s="58" t="n">
        <x:v>46254</x:v>
      </x:c>
      <x:c r="C12" s="57" t="str">
        <x:v>4b7b1d3</x:v>
      </x:c>
      <x:c r="D12" s="25" t="str">
        <x:v>시간 성능</x:v>
      </x:c>
      <x:c r="E12" s="25" t="str">
        <x:v>DMA/링버퍼</x:v>
      </x:c>
      <x:c r="F12" s="25" t="str">
        <x:v>dropped frames</x:v>
      </x:c>
      <x:c r="G12" s="25" t="str">
        <x:v>count</x:v>
      </x:c>
      <x:c r="H12" s="59" t="n">
        <x:v>0</x:v>
      </x:c>
      <x:c r="I12" s="59" t="str">
        <x:v>일치</x:v>
      </x:c>
      <x:c r="J12" s="60" t="n">
        <x:v>0</x:v>
      </x:c>
      <x:c r="K12" s="60" t="n">
        <x:v>0</x:v>
      </x:c>
      <x:c r="L12" s="60" t="n">
        <x:v>0</x:v>
      </x:c>
      <x:c r="M12" s="60" t="n">
        <x:v>0</x:v>
      </x:c>
      <x:c r="N12" s="60" t="n">
        <x:v>0</x:v>
      </x:c>
      <x:c r="O12" s="60" t="n">
        <x:v>16621</x:v>
      </x:c>
      <x:c r="P12" s="57" t="str">
        <x:v>11 V / 5 A; CH1+CH2; 27.7 min, pre-gain trim</x:v>
      </x:c>
      <x:c r="Q12" s="25" t="str">
        <x:f>IF(J12=0,"PASS","FAIL")</x:f>
        <x:v>PASS</x:v>
      </x:c>
      <x:c r="R12" s="57" t="str">
        <x:v>통과</x:v>
      </x:c>
      <x:c r="S12" s="57" t="str">
        <x:v>지명환</x:v>
      </x:c>
      <x:c r="T12" s="57" t="str">
        <x:v>27.7 min 동안 모든 드롭 원인 0</x:v>
      </x:c>
      <x:c r="U12" s="57" t="str">
        <x:v>logs/cosmoke_capture_20260820_094031_980220.csv</x:v>
      </x:c>
    </x:row>
    <x:row r="13">
      <x:c r="A13" s="25" t="str">
        <x:v>T-03</x:v>
      </x:c>
      <x:c r="B13" s="58"/>
      <x:c r="C13" s="57"/>
      <x:c r="D13" s="25" t="str">
        <x:v>시간 성능</x:v>
      </x:c>
      <x:c r="E13" s="25" t="str">
        <x:v>DAC 응답</x:v>
      </x:c>
      <x:c r="F13" s="25" t="str">
        <x:v>입력 step→출력 안정화</x:v>
      </x:c>
      <x:c r="G13" s="25" t="str">
        <x:v>ms</x:v>
      </x:c>
      <x:c r="H13" s="59" t="n">
        <x:v>30</x:v>
      </x:c>
      <x:c r="I13" s="59" t="str">
        <x:v>최대</x:v>
      </x:c>
      <x:c r="J13" s="60"/>
      <x:c r="K13" s="60"/>
      <x:c r="L13" s="60"/>
      <x:c r="M13" s="60"/>
      <x:c r="N13" s="60"/>
      <x:c r="O13" s="60"/>
      <x:c r="P13" s="57"/>
      <x:c r="Q13" s="25" t="str">
        <x:f>IF(OR(H13="",I13="",J13=""),"INPUT",IF(I13="최대",IF(J13&lt;=H13,"PASS","FAIL"),IF(I13="최소",IF(J13&gt;=H13,"PASS","FAIL"),IF(I13="일치",IF(J13=H13,"PASS","FAIL"),"CHECK"))))</x:f>
        <x:v>INPUT</x:v>
      </x:c>
      <x:c r="R13" s="57" t="str">
        <x:v>미실행</x:v>
      </x:c>
      <x:c r="S13" s="57"/>
      <x:c r="T13" s="57" t="str">
        <x:v>필터 포함 end-to-end</x:v>
      </x:c>
      <x:c r="U13" s="57"/>
    </x:row>
    <x:row r="14">
      <x:c r="A14" s="25" t="str">
        <x:v>N-01</x:v>
      </x:c>
      <x:c r="B14" s="58" t="n">
        <x:v>46254</x:v>
      </x:c>
      <x:c r="C14" s="57" t="str">
        <x:v>4b7b1d3</x:v>
      </x:c>
      <x:c r="D14" s="25" t="str">
        <x:v>통신</x:v>
      </x:c>
      <x:c r="E14" s="25" t="str">
        <x:v>UDP 전송률</x:v>
      </x:c>
      <x:c r="F14" s="25" t="str">
        <x:v>송신 주기</x:v>
      </x:c>
      <x:c r="G14" s="25" t="str">
        <x:v>ms</x:v>
      </x:c>
      <x:c r="H14" s="59" t="n">
        <x:v>100</x:v>
      </x:c>
      <x:c r="I14" s="59" t="str">
        <x:v>일치</x:v>
      </x:c>
      <x:c r="J14" s="60" t="n">
        <x:v>99.999</x:v>
      </x:c>
      <x:c r="K14" s="60" t="n">
        <x:v>0</x:v>
      </x:c>
      <x:c r="L14" s="60" t="n">
        <x:v>218</x:v>
      </x:c>
      <x:c r="M14" s="60" t="n">
        <x:v>99.999</x:v>
      </x:c>
      <x:c r="N14" s="60" t="n">
        <x:v>1.264</x:v>
      </x:c>
      <x:c r="O14" s="60" t="n">
        <x:v>16620</x:v>
      </x:c>
      <x:c r="P14" s="57" t="str">
        <x:v>11 V / 5 A; CH1+CH2; 27.7 min, pre-gain trim</x:v>
      </x:c>
      <x:c r="Q14" s="25" t="str">
        <x:f>IF(AND(J14&gt;=95,J14&lt;=105),"PASS","FAIL")</x:f>
        <x:v>PASS</x:v>
      </x:c>
      <x:c r="R14" s="57" t="str">
        <x:v>통과</x:v>
      </x:c>
      <x:c r="S14" s="57" t="str">
        <x:v>지명환</x:v>
      </x:c>
      <x:c r="T14" s="57" t="str">
        <x:v>평균 99.999 ms; PC 수신 타임스탬프 최대 gap 218 ms</x:v>
      </x:c>
      <x:c r="U14" s="57" t="str">
        <x:v>logs/cosmoke_capture_20260820_094031_980220.csv</x:v>
      </x:c>
    </x:row>
    <x:row r="15">
      <x:c r="A15" s="25" t="str">
        <x:v>N-02</x:v>
      </x:c>
      <x:c r="B15" s="58" t="n">
        <x:v>46254</x:v>
      </x:c>
      <x:c r="C15" s="57" t="str">
        <x:v>4b7b1d3</x:v>
      </x:c>
      <x:c r="D15" s="25" t="str">
        <x:v>통신</x:v>
      </x:c>
      <x:c r="E15" s="25" t="str">
        <x:v>UDP 손실</x:v>
      </x:c>
      <x:c r="F15" s="25" t="str">
        <x:v>sequence gap rate</x:v>
      </x:c>
      <x:c r="G15" s="25" t="str">
        <x:v>%</x:v>
      </x:c>
      <x:c r="H15" s="59" t="n">
        <x:v>0.1</x:v>
      </x:c>
      <x:c r="I15" s="59" t="str">
        <x:v>최대</x:v>
      </x:c>
      <x:c r="J15" s="60" t="n">
        <x:v>0</x:v>
      </x:c>
      <x:c r="K15" s="60" t="n">
        <x:v>0</x:v>
      </x:c>
      <x:c r="L15" s="60" t="n">
        <x:v>0</x:v>
      </x:c>
      <x:c r="M15" s="60" t="n">
        <x:v>0</x:v>
      </x:c>
      <x:c r="N15" s="60" t="n">
        <x:v>0</x:v>
      </x:c>
      <x:c r="O15" s="60" t="n">
        <x:v>16620</x:v>
      </x:c>
      <x:c r="P15" s="57" t="str">
        <x:v>11 V / 5 A; CH1+CH2; 27.7 min, pre-gain trim</x:v>
      </x:c>
      <x:c r="Q15" s="25" t="str">
        <x:f>IF(OR(H15="",I15="",J15=""),"INPUT",IF(I15="최대",IF(J15&lt;=H15,"PASS","FAIL"),IF(I15="최소",IF(J15&gt;=H15,"PASS","FAIL"),IF(I15="일치",IF(J15=H15,"PASS","FAIL"),"CHECK"))))</x:f>
        <x:v>INPUT</x:v>
      </x:c>
      <x:c r="R15" s="57" t="str">
        <x:v>통과</x:v>
      </x:c>
      <x:c r="S15" s="57" t="str">
        <x:v>지명환</x:v>
      </x:c>
      <x:c r="T15" s="57" t="str">
        <x:v>ADC sequence 간격 최대 201 (정상 200)으로 UDP 손실 0%. PC 수신 gap 218 ms 1회는 호스트 지연으로 분리.</x:v>
      </x:c>
      <x:c r="U15" s="57" t="str">
        <x:v>logs/cosmoke_capture_20260820_094031_980220.csv</x:v>
      </x:c>
    </x:row>
    <x:row r="16">
      <x:c r="A16" s="25" t="str">
        <x:v>R-01</x:v>
      </x:c>
      <x:c r="B16" s="58"/>
      <x:c r="C16" s="57"/>
      <x:c r="D16" s="25" t="str">
        <x:v>복구·안전</x:v>
      </x:c>
      <x:c r="E16" s="25" t="str">
        <x:v>ADC DRDY 정지</x:v>
      </x:c>
      <x:c r="F16" s="25" t="str">
        <x:v>MUTED 전이 시간</x:v>
      </x:c>
      <x:c r="G16" s="25" t="str">
        <x:v>ms</x:v>
      </x:c>
      <x:c r="H16" s="59" t="n">
        <x:v>500</x:v>
      </x:c>
      <x:c r="I16" s="59" t="str">
        <x:v>최대</x:v>
      </x:c>
      <x:c r="J16" s="60"/>
      <x:c r="K16" s="60"/>
      <x:c r="L16" s="60"/>
      <x:c r="M16" s="60"/>
      <x:c r="N16" s="60"/>
      <x:c r="O16" s="60"/>
      <x:c r="P16" s="57"/>
      <x:c r="Q16" s="25" t="str">
        <x:f>IF(OR(H16="",I16="",J16=""),"INPUT",IF(I16="최대",IF(J16&lt;=H16,"PASS","FAIL"),IF(I16="최소",IF(J16&gt;=H16,"PASS","FAIL"),IF(I16="일치",IF(J16=H16,"PASS","FAIL"),"CHECK"))))</x:f>
        <x:v>INPUT</x:v>
      </x:c>
      <x:c r="R16" s="57" t="str">
        <x:v>미실행</x:v>
      </x:c>
      <x:c r="S16" s="57"/>
      <x:c r="T16" s="57" t="str">
        <x:v>safe output 확인</x:v>
      </x:c>
      <x:c r="U16" s="57"/>
    </x:row>
    <x:row r="17">
      <x:c r="A17" s="25" t="str">
        <x:v>R-02</x:v>
      </x:c>
      <x:c r="B17" s="58"/>
      <x:c r="C17" s="57"/>
      <x:c r="D17" s="25" t="str">
        <x:v>복구·안전</x:v>
      </x:c>
      <x:c r="E17" s="25" t="str">
        <x:v>SPI 장애</x:v>
      </x:c>
      <x:c r="F17" s="25" t="str">
        <x:v>recovery 성공 시간</x:v>
      </x:c>
      <x:c r="G17" s="25" t="str">
        <x:v>s</x:v>
      </x:c>
      <x:c r="H17" s="59" t="n">
        <x:v>3</x:v>
      </x:c>
      <x:c r="I17" s="59" t="str">
        <x:v>최대</x:v>
      </x:c>
      <x:c r="J17" s="60"/>
      <x:c r="K17" s="60"/>
      <x:c r="L17" s="60"/>
      <x:c r="M17" s="60"/>
      <x:c r="N17" s="60"/>
      <x:c r="O17" s="60"/>
      <x:c r="P17" s="57"/>
      <x:c r="Q17" s="25" t="str">
        <x:f>IF(OR(H17="",I17="",J17=""),"INPUT",IF(I17="최대",IF(J17&lt;=H17,"PASS","FAIL"),IF(I17="최소",IF(J17&gt;=H17,"PASS","FAIL"),IF(I17="일치",IF(J17=H17,"PASS","FAIL"),"CHECK"))))</x:f>
        <x:v>INPUT</x:v>
      </x:c>
      <x:c r="R17" s="57" t="str">
        <x:v>미실행</x:v>
      </x:c>
      <x:c r="S17" s="57"/>
      <x:c r="T17" s="57" t="str">
        <x:v>backoff 포함</x:v>
      </x:c>
      <x:c r="U17" s="57"/>
    </x:row>
    <x:row r="18">
      <x:c r="A18" s="25" t="str">
        <x:v>R-03</x:v>
      </x:c>
      <x:c r="B18" s="58"/>
      <x:c r="C18" s="57"/>
      <x:c r="D18" s="25" t="str">
        <x:v>복구·안전</x:v>
      </x:c>
      <x:c r="E18" s="25" t="str">
        <x:v>DAC 통신 장애</x:v>
      </x:c>
      <x:c r="F18" s="25" t="str">
        <x:v>DAC fault 전이</x:v>
      </x:c>
      <x:c r="G18" s="25" t="str">
        <x:v>ms</x:v>
      </x:c>
      <x:c r="H18" s="59" t="n">
        <x:v>50</x:v>
      </x:c>
      <x:c r="I18" s="59" t="str">
        <x:v>최대</x:v>
      </x:c>
      <x:c r="J18" s="60"/>
      <x:c r="K18" s="60"/>
      <x:c r="L18" s="60"/>
      <x:c r="M18" s="60"/>
      <x:c r="N18" s="60"/>
      <x:c r="O18" s="60"/>
      <x:c r="P18" s="57"/>
      <x:c r="Q18" s="25" t="str">
        <x:f>IF(OR(H18="",I18="",J18=""),"INPUT",IF(I18="최대",IF(J18&lt;=H18,"PASS","FAIL"),IF(I18="최소",IF(J18&gt;=H18,"PASS","FAIL"),IF(I18="일치",IF(J18=H18,"PASS","FAIL"),"CHECK"))))</x:f>
        <x:v>INPUT</x:v>
      </x:c>
      <x:c r="R18" s="57" t="str">
        <x:v>미실행</x:v>
      </x:c>
      <x:c r="S18" s="57"/>
      <x:c r="T18" s="57" t="str">
        <x:v>출력 안전 상태 확인</x:v>
      </x:c>
      <x:c r="U18" s="57"/>
    </x:row>
    <x:row r="19">
      <x:c r="A19" s="25" t="str">
        <x:v>R-04</x:v>
      </x:c>
      <x:c r="B19" s="58"/>
      <x:c r="C19" s="57"/>
      <x:c r="D19" s="25" t="str">
        <x:v>복구·안전</x:v>
      </x:c>
      <x:c r="E19" s="25" t="str">
        <x:v>LAN 미연결</x:v>
      </x:c>
      <x:c r="F19" s="25" t="str">
        <x:v>watchdog 재부팅 반복</x:v>
      </x:c>
      <x:c r="G19" s="25" t="str">
        <x:v>count</x:v>
      </x:c>
      <x:c r="H19" s="59" t="n">
        <x:v>0</x:v>
      </x:c>
      <x:c r="I19" s="59" t="str">
        <x:v>일치</x:v>
      </x:c>
      <x:c r="J19" s="60"/>
      <x:c r="K19" s="60"/>
      <x:c r="L19" s="60"/>
      <x:c r="M19" s="60"/>
      <x:c r="N19" s="60"/>
      <x:c r="O19" s="60"/>
      <x:c r="P19" s="57"/>
      <x:c r="Q19" s="25" t="str">
        <x:f>IF(OR(H19="",I19="",J19=""),"INPUT",IF(I19="최대",IF(J19&lt;=H19,"PASS","FAIL"),IF(I19="최소",IF(J19&gt;=H19,"PASS","FAIL"),IF(I19="일치",IF(J19=H19,"PASS","FAIL"),"CHECK"))))</x:f>
        <x:v>INPUT</x:v>
      </x:c>
      <x:c r="R19" s="57" t="str">
        <x:v>미실행</x:v>
      </x:c>
      <x:c r="S19" s="57"/>
      <x:c r="T19" s="57" t="str">
        <x:v>10분 관찰</x:v>
      </x:c>
      <x:c r="U19" s="57"/>
    </x:row>
    <x:row r="20">
      <x:c r="A20" s="25" t="str">
        <x:v>L-01</x:v>
      </x:c>
      <x:c r="B20" s="58"/>
      <x:c r="C20" s="57"/>
      <x:c r="D20" s="25" t="str">
        <x:v>장시간 안정성</x:v>
      </x:c>
      <x:c r="E20" s="25" t="str">
        <x:v>Soak test</x:v>
      </x:c>
      <x:c r="F20" s="25" t="str">
        <x:v>연속 동작 시간</x:v>
      </x:c>
      <x:c r="G20" s="25" t="str">
        <x:v>h</x:v>
      </x:c>
      <x:c r="H20" s="59" t="n">
        <x:v>24</x:v>
      </x:c>
      <x:c r="I20" s="59" t="str">
        <x:v>최소</x:v>
      </x:c>
      <x:c r="J20" s="60"/>
      <x:c r="K20" s="60"/>
      <x:c r="L20" s="60"/>
      <x:c r="M20" s="60"/>
      <x:c r="N20" s="60"/>
      <x:c r="O20" s="60"/>
      <x:c r="P20" s="57"/>
      <x:c r="Q20" s="25" t="str">
        <x:f>IF(OR(H20="",I20="",J20=""),"INPUT",IF(I20="최대",IF(J20&lt;=H20,"PASS","FAIL"),IF(I20="최소",IF(J20&gt;=H20,"PASS","FAIL"),IF(I20="일치",IF(J20=H20,"PASS","FAIL"),"CHECK"))))</x:f>
        <x:v>INPUT</x:v>
      </x:c>
      <x:c r="R20" s="57" t="str">
        <x:v>미실행</x:v>
      </x:c>
      <x:c r="S20" s="57"/>
      <x:c r="T20" s="57" t="str">
        <x:v>reset/error/drop 기록</x:v>
      </x:c>
      <x:c r="U20" s="57"/>
    </x:row>
  </x:sheetData>
  <x:mergeCells>
    <x:mergeCell ref="A1:U1"/>
    <x:mergeCell ref="A3:U3"/>
  </x:mergeCells>
  <x:conditionalFormatting sqref="Q6:Q20">
    <x:cfRule type="containsText" dxfId="2" priority="1" operator="containsText" text="PASS"/>
    <x:cfRule type="containsText" dxfId="3" priority="2" operator="containsText" text="FAIL"/>
    <x:cfRule type="containsText" dxfId="4" priority="3" operator="containsText" text="INPUT"/>
  </x:conditionalFormatting>
  <x:dataValidations count="2">
    <x:dataValidation type="list" sqref="R6:R20">
      <x:formula1>"미실행,진행 중,완료,보류"</x:formula1>
    </x:dataValidation>
    <x:dataValidation type="list" sqref="D6:D20">
      <x:formula1>"기능,계측 정확도,시간 성능,통신,복구·안전,장시간 안정성"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1" hidden="0" customWidth="1"/>
    <x:col min="7" max="7" width="40" hidden="0" customWidth="1"/>
    <x:col min="8" max="8" width="28" hidden="0" customWidth="1"/>
  </x:cols>
  <x:sheetData>
    <x:row r="1" ht="30" customHeight="1">
      <x:c r="A1" s="4" t="str">
        <x:v>성능 튜닝 프로파일</x:v>
      </x:c>
      <x:c r="B1" s="4" t="str">
        <x:v>성능 튜닝 프로파일</x:v>
      </x:c>
      <x:c r="C1" s="4" t="str">
        <x:v>성능 튜닝 프로파일</x:v>
      </x:c>
      <x:c r="D1" s="4" t="str">
        <x:v>성능 튜닝 프로파일</x:v>
      </x:c>
      <x:c r="E1" s="4" t="str">
        <x:v>성능 튜닝 프로파일</x:v>
      </x:c>
      <x:c r="F1" s="4" t="str">
        <x:v>성능 튜닝 프로파일</x:v>
      </x:c>
      <x:c r="G1" s="4" t="str">
        <x:v>성능 튜닝 프로파일</x:v>
      </x:c>
      <x:c r="H1" s="4" t="str">
        <x:v>성능 튜닝 프로파일</x:v>
      </x:c>
    </x:row>
    <x:row r="3">
      <x:c r="A3" s="6" t="str">
        <x:v>설정 변경은 한 번에 하나씩 시험하고, 결과는 Test Log에 연결해 근거를 남기십시오. Current 값은 현재 펌웨어 설정 기준입니다.</x:v>
      </x:c>
      <x:c r="B3" s="6"/>
      <x:c r="C3" s="6"/>
      <x:c r="D3" s="6"/>
      <x:c r="E3" s="6"/>
      <x:c r="F3" s="6"/>
      <x:c r="G3" s="6"/>
      <x:c r="H3" s="6"/>
    </x:row>
    <x:row r="5" ht="30" customHeight="1">
      <x:c r="A5" s="23" t="str">
        <x:v>설정</x:v>
      </x:c>
      <x:c r="B5" s="23" t="str">
        <x:v>현재값</x:v>
      </x:c>
      <x:c r="C5" s="23" t="str">
        <x:v>Debug 제안</x:v>
      </x:c>
      <x:c r="D5" s="23" t="str">
        <x:v>Bench 제안</x:v>
      </x:c>
      <x:c r="E5" s="23" t="str">
        <x:v>Production 제안</x:v>
      </x:c>
      <x:c r="F5" s="23" t="str">
        <x:v>단위</x:v>
      </x:c>
      <x:c r="G5" s="23" t="str">
        <x:v>영향</x:v>
      </x:c>
      <x:c r="H5" s="23" t="str">
        <x:v>검증 지표</x:v>
      </x:c>
    </x:row>
    <x:row r="6">
      <x:c r="A6" s="55" t="str">
        <x:v>APP_CHx_FILTER_ALPHA</x:v>
      </x:c>
      <x:c r="B6" s="61" t="n">
        <x:v>0.05</x:v>
      </x:c>
      <x:c r="C6" s="61" t="n">
        <x:v>0.1</x:v>
      </x:c>
      <x:c r="D6" s="61" t="n">
        <x:v>0.05</x:v>
      </x:c>
      <x:c r="E6" s="61" t="n">
        <x:v>0.02</x:v>
      </x:c>
      <x:c r="F6" s="55" t="str">
        <x:v>ratio</x:v>
      </x:c>
      <x:c r="G6" s="55" t="str">
        <x:v>값이 작을수록 노이즈 감소·응답 지연 증가</x:v>
      </x:c>
      <x:c r="H6" s="55" t="str">
        <x:v>RMS noise / DAC settling</x:v>
      </x:c>
    </x:row>
    <x:row r="7">
      <x:c r="A7" s="55" t="str">
        <x:v>APP_DAC_UPDATE_PERIOD_MS</x:v>
      </x:c>
      <x:c r="B7" s="61" t="n">
        <x:v>10</x:v>
      </x:c>
      <x:c r="C7" s="61" t="n">
        <x:v>5</x:v>
      </x:c>
      <x:c r="D7" s="61" t="n">
        <x:v>10</x:v>
      </x:c>
      <x:c r="E7" s="61" t="n">
        <x:v>10</x:v>
      </x:c>
      <x:c r="F7" s="55" t="str">
        <x:v>ms</x:v>
      </x:c>
      <x:c r="G7" s="55" t="str">
        <x:v>작을수록 DAC 응답 향상·SPI 부하 증가</x:v>
      </x:c>
      <x:c r="H7" s="55" t="str">
        <x:v>dropped frames / response time</x:v>
      </x:c>
    </x:row>
    <x:row r="8">
      <x:c r="A8" s="55" t="str">
        <x:v>APP_TELEMETRY_PERIOD_MS</x:v>
      </x:c>
      <x:c r="B8" s="61" t="n">
        <x:v>100</x:v>
      </x:c>
      <x:c r="C8" s="61" t="n">
        <x:v>20</x:v>
      </x:c>
      <x:c r="D8" s="61" t="n">
        <x:v>50</x:v>
      </x:c>
      <x:c r="E8" s="61" t="n">
        <x:v>100</x:v>
      </x:c>
      <x:c r="F8" s="55" t="str">
        <x:v>ms</x:v>
      </x:c>
      <x:c r="G8" s="55" t="str">
        <x:v>작을수록 관측성 향상·LAN/UART 부하 증가</x:v>
      </x:c>
      <x:c r="H8" s="55" t="str">
        <x:v>UDP loss / jitter</x:v>
      </x:c>
    </x:row>
    <x:row r="9">
      <x:c r="A9" s="55" t="str">
        <x:v>APP_ADC_RING_CAPACITY</x:v>
      </x:c>
      <x:c r="B9" s="61" t="n">
        <x:v>256</x:v>
      </x:c>
      <x:c r="C9" s="61" t="n">
        <x:v>256</x:v>
      </x:c>
      <x:c r="D9" s="61" t="n">
        <x:v>128</x:v>
      </x:c>
      <x:c r="E9" s="61" t="n">
        <x:v>128</x:v>
      </x:c>
      <x:c r="F9" s="55" t="str">
        <x:v>frames</x:v>
      </x:c>
      <x:c r="G9" s="55" t="str">
        <x:v>증가 시 task 지연 흡수·RAM 사용 증가</x:v>
      </x:c>
      <x:c r="H9" s="55" t="str">
        <x:v>dropped frames / RAM</x:v>
      </x:c>
    </x:row>
    <x:row r="10">
      <x:c r="A10" s="55" t="str">
        <x:v>APP_ADC_NO_PROGRESS_TIMEOUT_MS</x:v>
      </x:c>
      <x:c r="B10" s="61" t="n">
        <x:v>500</x:v>
      </x:c>
      <x:c r="C10" s="61" t="n">
        <x:v>500</x:v>
      </x:c>
      <x:c r="D10" s="61" t="n">
        <x:v>500</x:v>
      </x:c>
      <x:c r="E10" s="61" t="n">
        <x:v>500</x:v>
      </x:c>
      <x:c r="F10" s="55" t="str">
        <x:v>ms</x:v>
      </x:c>
      <x:c r="G10" s="55" t="str">
        <x:v>작을수록 빠른 fault 감지·false recovery 위험</x:v>
      </x:c>
      <x:c r="H10" s="55" t="str">
        <x:v>fault transition time</x:v>
      </x:c>
    </x:row>
    <x:row r="11">
      <x:c r="A11" s="55" t="str">
        <x:v>APP_ADC_MAX_CONSECUTIVE_CRC_ERRORS</x:v>
      </x:c>
      <x:c r="B11" s="61" t="n">
        <x:v>16</x:v>
      </x:c>
      <x:c r="C11" s="61" t="n">
        <x:v>8</x:v>
      </x:c>
      <x:c r="D11" s="61" t="n">
        <x:v>16</x:v>
      </x:c>
      <x:c r="E11" s="61" t="n">
        <x:v>16</x:v>
      </x:c>
      <x:c r="F11" s="55" t="str">
        <x:v>count</x:v>
      </x:c>
      <x:c r="G11" s="55" t="str">
        <x:v>작을수록 빠른 CRC fault 감지</x:v>
      </x:c>
      <x:c r="H11" s="55" t="str">
        <x:v>noise fault injection</x:v>
      </x:c>
    </x:row>
    <x:row r="12">
      <x:c r="A12" s="55" t="str">
        <x:v>APP_WARMUP_TIMEOUT_MS</x:v>
      </x:c>
      <x:c r="B12" s="61" t="n">
        <x:v>2000</x:v>
      </x:c>
      <x:c r="C12" s="61" t="n">
        <x:v>3000</x:v>
      </x:c>
      <x:c r="D12" s="61" t="n">
        <x:v>2000</x:v>
      </x:c>
      <x:c r="E12" s="61" t="n">
        <x:v>2000</x:v>
      </x:c>
      <x:c r="F12" s="55" t="str">
        <x:v>ms</x:v>
      </x:c>
      <x:c r="G12" s="55" t="str">
        <x:v>초기 안정화 여유와 startup time tradeoff</x:v>
      </x:c>
      <x:c r="H12" s="55" t="str">
        <x:v>WARMUP→ACTIVE time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6" hidden="0" customWidth="1"/>
    <x:col min="4" max="4" width="52" hidden="0" customWidth="1"/>
    <x:col min="5" max="5" width="42" hidden="0" customWidth="1"/>
    <x:col min="6" max="6" width="18" hidden="0" customWidth="1"/>
    <x:col min="7" max="7" width="34" hidden="0" customWidth="1"/>
    <x:col min="8" max="8" width="28" hidden="0" customWidth="1"/>
  </x:cols>
  <x:sheetData>
    <x:row r="1" ht="30" customHeight="1">
      <x:c r="A1" s="65" t="str">
        <x:v>시험 절차 및 기록 방법</x:v>
      </x:c>
      <x:c r="B1" s="65"/>
      <x:c r="C1" s="65"/>
      <x:c r="D1" s="65"/>
      <x:c r="E1" s="65"/>
      <x:c r="F1" s="65"/>
      <x:c r="G1" s="65"/>
      <x:c r="H1" s="65"/>
    </x:row>
    <x:row r="3" ht="30" customHeight="1">
      <x:c r="A3" s="69" t="str">
        <x:v>각 시험은 Test Log의 동일 ID에 기록합니다. CSV 캡처 파일명·보드 식별·펌웨어 commit·측정 장비·온도/전원 조건을 함께 남겨야 재현 가능합니다.</x:v>
      </x:c>
      <x:c r="B3" s="69"/>
      <x:c r="C3" s="69"/>
      <x:c r="D3" s="69"/>
      <x:c r="E3" s="69"/>
      <x:c r="F3" s="69"/>
      <x:c r="G3" s="69"/>
      <x:c r="H3" s="69"/>
    </x:row>
    <x:row r="5" ht="22" customHeight="1">
      <x:c r="A5" s="72" t="str">
        <x:v>공통 준비 및 안전</x:v>
      </x:c>
      <x:c r="B5" s="72"/>
      <x:c r="C5" s="72"/>
      <x:c r="D5" s="72"/>
      <x:c r="E5" s="72"/>
      <x:c r="F5" s="72"/>
      <x:c r="G5" s="72"/>
      <x:c r="H5" s="72"/>
    </x:row>
    <x:row r="6" ht="28" customHeight="1">
      <x:c r="A6" s="76" t="str">
        <x:v>1</x:v>
      </x:c>
      <x:c r="B6" s="55" t="str">
        <x:v>보드 전원·Ethernet·PC IP를 확인하고, 실부하 대신 더미 부하 또는 안전한 계측 환경부터 사용합니다.</x:v>
      </x:c>
      <x:c r="C6" s="55"/>
      <x:c r="D6" s="55"/>
      <x:c r="E6" s="55"/>
      <x:c r="F6" s="55"/>
      <x:c r="G6" s="55"/>
      <x:c r="H6" s="55"/>
    </x:row>
    <x:row r="7" ht="28" customHeight="1">
      <x:c r="A7" s="76" t="str">
        <x:v>2</x:v>
      </x:c>
      <x:c r="B7" s="55" t="str">
        <x:v>대시보드에서 WARMUP → ACTIVE/OK 전이를 확인합니다. 오류 플래그가 있으면 원인을 해결한 뒤 시험을 시작합니다.</x:v>
      </x:c>
      <x:c r="C7" s="55"/>
      <x:c r="D7" s="55"/>
      <x:c r="E7" s="55"/>
      <x:c r="F7" s="55"/>
      <x:c r="G7" s="55"/>
      <x:c r="H7" s="55"/>
    </x:row>
    <x:row r="8" ht="28" customHeight="1">
      <x:c r="A8" s="76" t="str">
        <x:v>3</x:v>
      </x:c>
      <x:c r="B8" s="55" t="str">
        <x:v>대시보드의 CSV 저장 시작을 눌러 시험별 파일을 만듭니다. 예: 20260819_R01_SPI_fault_board01.csv</x:v>
      </x:c>
      <x:c r="C8" s="55"/>
      <x:c r="D8" s="55"/>
      <x:c r="E8" s="55"/>
      <x:c r="F8" s="55"/>
      <x:c r="G8" s="55"/>
      <x:c r="H8" s="55"/>
    </x:row>
    <x:row r="9" ht="28" customHeight="1">
      <x:c r="A9" s="76" t="str">
        <x:v>4</x:v>
      </x:c>
      <x:c r="B9" s="55" t="str">
        <x:v>시험 종료 후 CSV 저장 종료를 누르고, Test Log의 측정값·최소·최대·평균·표준편차·증빙 경로를 작성합니다.</x:v>
      </x:c>
      <x:c r="C9" s="55"/>
      <x:c r="D9" s="55"/>
      <x:c r="E9" s="55"/>
      <x:c r="F9" s="55"/>
      <x:c r="G9" s="55"/>
      <x:c r="H9" s="55"/>
    </x:row>
    <x:row r="11" ht="32" customHeight="1">
      <x:c r="A11" s="81" t="str">
        <x:v>ID</x:v>
      </x:c>
      <x:c r="B11" s="81" t="str">
        <x:v>시험</x:v>
      </x:c>
      <x:c r="C11" s="81" t="str">
        <x:v>사전 준비/장비</x:v>
      </x:c>
      <x:c r="D11" s="81" t="str">
        <x:v>절차</x:v>
      </x:c>
      <x:c r="E11" s="81" t="str">
        <x:v>기록값·CSV 확인</x:v>
      </x:c>
      <x:c r="F11" s="81" t="str">
        <x:v>판정 기준</x:v>
      </x:c>
      <x:c r="G11" s="81" t="str">
        <x:v>안전·주의</x:v>
      </x:c>
      <x:c r="H11" s="81" t="str">
        <x:v>Test Log 작성</x:v>
      </x:c>
    </x:row>
    <x:row r="12" ht="72" customHeight="1">
      <x:c r="A12" s="85" t="str">
        <x:v>F-01</x:v>
      </x:c>
      <x:c r="B12" s="82" t="str">
        <x:v>부팅 상태 전이</x:v>
      </x:c>
      <x:c r="C12" s="82" t="str">
        <x:v>UART/UDP 로그, 스톱워치</x:v>
      </x:c>
      <x:c r="D12" s="82" t="str">
        <x:v>전원을 3회 재인가합니다. 각 회차에서 WARMUP 표시부터 ACTIVE/OK까지 시간을 측정합니다.</x:v>
      </x:c>
      <x:c r="E12" s="82" t="str">
        <x:v>CSV의 received_at·device_ms, WARMUP/MUTED 플래그, 첫 ACTIVE 프레임</x:v>
      </x:c>
      <x:c r="F12" s="87" t="str">
        <x:v>2 s 이내</x:v>
      </x:c>
      <x:c r="G12" s="82" t="str">
        <x:v>실부하 연결 전 수행</x:v>
      </x:c>
      <x:c r="H12" s="82" t="str">
        <x:v>측정값=최대 전이시간, 샘플 수=3</x:v>
      </x:c>
    </x:row>
    <x:row r="13" ht="72" customHeight="1">
      <x:c r="A13" s="85" t="str">
        <x:v>A-01</x:v>
      </x:c>
      <x:c r="B13" s="82" t="str">
        <x:v>영점 오차</x:v>
      </x:c>
      <x:c r="C13" s="82" t="str">
        <x:v>정밀 DMM, 입력 단락/0 기준</x:v>
      </x:c>
      <x:c r="D13" s="82" t="str">
        <x:v>채널별 0 입력을 10분 유지하고 안정화 후 100개 이상 프레임을 캡처합니다.</x:v>
      </x:c>
      <x:c r="E13" s="82" t="str">
        <x:v>채널별 평균·최대 절대 오차, 필터 alpha, CSV 경로</x:v>
      </x:c>
      <x:c r="F13" s="87" t="str">
        <x:v>0.2 %FS 이하</x:v>
      </x:c>
      <x:c r="G13" s="82" t="str">
        <x:v>입력 단락 조건을 명확히 기록</x:v>
      </x:c>
      <x:c r="H13" s="82" t="str">
        <x:v>측정값=최대 절대 오차</x:v>
      </x:c>
    </x:row>
    <x:row r="14" ht="72" customHeight="1">
      <x:c r="A14" s="85" t="str">
        <x:v>A-02</x:v>
      </x:c>
      <x:c r="B14" s="82" t="str">
        <x:v>Gain 오차</x:v>
      </x:c>
      <x:c r="C14" s="82" t="str">
        <x:v>정밀 전압/전류원, DMM</x:v>
      </x:c>
      <x:c r="D14" s="82" t="str">
        <x:v>0/50/100 %FS 기준점을 순서대로 인가하고 각 점에서 30초 이상 기록합니다.</x:v>
      </x:c>
      <x:c r="E14" s="82" t="str">
        <x:v>기준값·표시 평균·오차(%FS), 보정 전/후 CSV</x:v>
      </x:c>
      <x:c r="F14" s="87" t="str">
        <x:v>0.5 %FS 이하</x:v>
      </x:c>
      <x:c r="G14" s="82" t="str">
        <x:v>허용 입력 범위를 넘지 않음</x:v>
      </x:c>
      <x:c r="H14" s="82" t="str">
        <x:v>측정값=100 %FS 오차</x:v>
      </x:c>
    </x:row>
    <x:row r="15" ht="72" customHeight="1">
      <x:c r="A15" s="85" t="str">
        <x:v>A-03</x:v>
      </x:c>
      <x:c r="B15" s="82" t="str">
        <x:v>선형성</x:v>
      </x:c>
      <x:c r="C15" s="82" t="str">
        <x:v>정밀 전압/전류원</x:v>
      </x:c>
      <x:c r="D15" s="82" t="str">
        <x:v>0/25/50/75/100 %FS를 상승·하강 방향으로 인가합니다.</x:v>
      </x:c>
      <x:c r="E15" s="82" t="str">
        <x:v>각 점 평균과 직선 대비 최대 편차</x:v>
      </x:c>
      <x:c r="F15" s="87" t="str">
        <x:v>1.0 %FS 이하</x:v>
      </x:c>
      <x:c r="G15" s="82" t="str">
        <x:v>히스테리시스는 비고에 별도 기록</x:v>
      </x:c>
      <x:c r="H15" s="82" t="str">
        <x:v>측정값=최대 편차</x:v>
      </x:c>
    </x:row>
    <x:row r="16" ht="72" customHeight="1">
      <x:c r="A16" s="85" t="str">
        <x:v>A-04</x:v>
      </x:c>
      <x:c r="B16" s="82" t="str">
        <x:v>입력 노이즈</x:v>
      </x:c>
      <x:c r="C16" s="82" t="str">
        <x:v>차폐 입력/고정 기준원, CSV</x:v>
      </x:c>
      <x:c r="D16" s="82" t="str">
        <x:v>고정 입력에서 최소 10분 캡처합니다. 필요 시 필터 alpha를 한 값씩만 변경해 비교합니다.</x:v>
      </x:c>
      <x:c r="E16" s="82" t="str">
        <x:v>평균·표준편차·peak-to-peak, CSV sequence gap</x:v>
      </x:c>
      <x:c r="F16" s="87" t="str">
        <x:v>50 mV/mA 이하</x:v>
      </x:c>
      <x:c r="G16" s="82" t="str">
        <x:v>전원·접지·케이블 상태 기록</x:v>
      </x:c>
      <x:c r="H16" s="82" t="str">
        <x:v>측정값=RMS 또는 표준편차 기준값</x:v>
      </x:c>
    </x:row>
    <x:row r="17" ht="72" customHeight="1">
      <x:c r="A17" s="85" t="str">
        <x:v>T-01</x:v>
      </x:c>
      <x:c r="B17" s="82" t="str">
        <x:v>ADC 수집률</x:v>
      </x:c>
      <x:c r="C17" s="82" t="str">
        <x:v>logic analyzer 또는 PC CSV</x:v>
      </x:c>
      <x:c r="D17" s="82" t="str">
        <x:v>정상 입력에서 1분 이상 캡처하고 sequence/device_ms 변화로 실제 수집률을 계산합니다.</x:v>
      </x:c>
      <x:c r="E17" s="82" t="str">
        <x:v>프레임 수 ÷ 경과시간, dropped, CRC/SPI 오류</x:v>
      </x:c>
      <x:c r="F17" s="87" t="str">
        <x:v>1,980 Hz 이상 (명목 2 kSPS, ±1%)</x:v>
      </x:c>
      <x:c r="G17" s="82" t="str">
        <x:v>텔레메트리는 100 ms이므로 ADC 원시율은 별도 계측 권장</x:v>
      </x:c>
      <x:c r="H17" s="82" t="str">
        <x:v>측정값=실제 sample rate</x:v>
      </x:c>
    </x:row>
    <x:row r="18" ht="72" customHeight="1">
      <x:c r="A18" s="85" t="str">
        <x:v>T-02</x:v>
      </x:c>
      <x:c r="B18" s="82" t="str">
        <x:v>DMA/링버퍼</x:v>
      </x:c>
      <x:c r="C18" s="82" t="str">
        <x:v>대시보드 CSV, 부하 조건</x:v>
      </x:c>
      <x:c r="D18" s="82" t="str">
        <x:v>CPU·네트워크 부하를 단계적으로 올려 10분 이상 실행합니다.</x:v>
      </x:c>
      <x:c r="E18" s="82" t="str">
        <x:v>dropped counter, sequence gap, CRC/SPI 오류</x:v>
      </x:c>
      <x:c r="F18" s="87" t="str">
        <x:v>dropped=0</x:v>
      </x:c>
      <x:c r="G18" s="82" t="str">
        <x:v>한 번에 하나의 부하만 변경</x:v>
      </x:c>
      <x:c r="H18" s="82" t="str">
        <x:v>측정값=dropped frames</x:v>
      </x:c>
    </x:row>
    <x:row r="19" ht="72" customHeight="1">
      <x:c r="A19" s="85" t="str">
        <x:v>T-03</x:v>
      </x:c>
      <x:c r="B19" s="82" t="str">
        <x:v>DAC 응답</x:v>
      </x:c>
      <x:c r="C19" s="82" t="str">
        <x:v>oscilloscope, 더미 부하</x:v>
      </x:c>
      <x:c r="D19" s="82" t="str">
        <x:v>안전한 범위의 step 명령을 인가하고 입력 시점부터 출력 안정화까지 반복 측정합니다.</x:v>
      </x:c>
      <x:c r="E19" s="82" t="str">
        <x:v>상승/하강 settling time, overshoot, CSV/파형 파일</x:v>
      </x:c>
      <x:c r="F19" s="87" t="str">
        <x:v>30 ms 이하</x:v>
      </x:c>
      <x:c r="G19" s="82" t="str">
        <x:v>실부하 전 더미 부하에서 확인</x:v>
      </x:c>
      <x:c r="H19" s="82" t="str">
        <x:v>측정값=최악 settling time</x:v>
      </x:c>
    </x:row>
    <x:row r="20" ht="72" customHeight="1">
      <x:c r="A20" s="85" t="str">
        <x:v>N-01</x:v>
      </x:c>
      <x:c r="B20" s="82" t="str">
        <x:v>UDP 전송률</x:v>
      </x:c>
      <x:c r="C20" s="82" t="str">
        <x:v>PC CSV 캡처</x:v>
      </x:c>
      <x:c r="D20" s="82" t="str">
        <x:v>1분 이상 캡처한 뒤 received_at 인접 행 차이를 계산합니다.</x:v>
      </x:c>
      <x:c r="E20" s="82" t="str">
        <x:v>평균 주기·최대 jitter·수신 frame 수</x:v>
      </x:c>
      <x:c r="F20" s="87" t="str">
        <x:v>평균 95–105 ms (명목 100 ms)</x:v>
      </x:c>
      <x:c r="G20" s="82" t="str">
        <x:v>PC의 순간 부하는 비고에 기록</x:v>
      </x:c>
      <x:c r="H20" s="82" t="str">
        <x:v>측정값=평균 송신 주기</x:v>
      </x:c>
    </x:row>
    <x:row r="21" ht="72" customHeight="1">
      <x:c r="A21" s="85" t="str">
        <x:v>N-02</x:v>
      </x:c>
      <x:c r="B21" s="82" t="str">
        <x:v>UDP 손실</x:v>
      </x:c>
      <x:c r="C21" s="82" t="str">
        <x:v>PC CSV 캡처, 동일 LAN</x:v>
      </x:c>
      <x:c r="D21" s="82" t="str">
        <x:v>10분 이상 캡처하고 sequence 누락과 모니터 종료 요약을 확인합니다.</x:v>
      </x:c>
      <x:c r="E21" s="82" t="str">
        <x:v>estimated_udp_loss ÷ frames × 100, reset 구간</x:v>
      </x:c>
      <x:c r="F21" s="87" t="str">
        <x:v>0.1 % 이하</x:v>
      </x:c>
      <x:c r="G21" s="82" t="str">
        <x:v>Wi-Fi 대신 유선·동일 VLAN 권장</x:v>
      </x:c>
      <x:c r="H21" s="82" t="str">
        <x:v>측정값=sequence gap rate</x:v>
      </x:c>
    </x:row>
    <x:row r="22" ht="72" customHeight="1">
      <x:c r="A22" s="85" t="str">
        <x:v>R-01</x:v>
      </x:c>
      <x:c r="B22" s="82" t="str">
        <x:v>ADC DRDY 정지</x:v>
      </x:c>
      <x:c r="C22" s="82" t="str">
        <x:v>신호 차단 수단, 로그</x:v>
      </x:c>
      <x:c r="D22" s="82" t="str">
        <x:v>DRDY 또는 ADC 프레임 흐름을 안전하게 중단하고 MUTED 전이와 안전 출력 상태를 확인합니다.</x:v>
      </x:c>
      <x:c r="E22" s="82" t="str">
        <x:v>fault 발생→MUTED 시간, 플래그, 재복구 시간</x:v>
      </x:c>
      <x:c r="F22" s="87" t="str">
        <x:v>500 ms 이하</x:v>
      </x:c>
      <x:c r="G22" s="82" t="str">
        <x:v>실부하 비연결 상태에서 수행</x:v>
      </x:c>
      <x:c r="H22" s="82" t="str">
        <x:v>측정값=MUTED 전이 시간</x:v>
      </x:c>
    </x:row>
    <x:row r="23" ht="72" customHeight="1">
      <x:c r="A23" s="85" t="str">
        <x:v>R-02</x:v>
      </x:c>
      <x:c r="B23" s="82" t="str">
        <x:v>SPI 장애 복구</x:v>
      </x:c>
      <x:c r="C23" s="82" t="str">
        <x:v>재현 가능한 fault injection</x:v>
      </x:c>
      <x:c r="D23" s="82" t="str">
        <x:v>ADC/DAC 공유 SPI 동작 중 통신 오류를 유발하고 RECOVERING/WARMUP/ACTIVE 순서를 확인합니다.</x:v>
      </x:c>
      <x:c r="E23" s="82" t="str">
        <x:v>SPI 오류·CRC·복구 시간·sequence reset·CSV</x:v>
      </x:c>
      <x:c r="F23" s="87" t="str">
        <x:v>3 s 이하</x:v>
      </x:c>
      <x:c r="G23" s="82" t="str">
        <x:v>DMA/CS 동작을 계측 가능하면 함께 확인</x:v>
      </x:c>
      <x:c r="H23" s="82" t="str">
        <x:v>측정값=recovery 성공 시간</x:v>
      </x:c>
    </x:row>
    <x:row r="24" ht="72" customHeight="1">
      <x:c r="A24" s="85" t="str">
        <x:v>R-03</x:v>
      </x:c>
      <x:c r="B24" s="82" t="str">
        <x:v>DAC 통신 장애</x:v>
      </x:c>
      <x:c r="C24" s="82" t="str">
        <x:v>DAC fault injection, oscilloscope</x:v>
      </x:c>
      <x:c r="D24" s="82" t="str">
        <x:v>DAC 전송 오류를 2회 이상 유발하고 MUTED 전이 및 안전 출력 상태를 확인합니다.</x:v>
      </x:c>
      <x:c r="E24" s="82" t="str">
        <x:v>DAC 오류·MUTED 시간·출력 파형·복구 결과</x:v>
      </x:c>
      <x:c r="F24" s="87" t="str">
        <x:v>50 ms 이하</x:v>
      </x:c>
      <x:c r="G24" s="82" t="str">
        <x:v>안전 출력 하드웨어 경로는 별도 확인</x:v>
      </x:c>
      <x:c r="H24" s="82" t="str">
        <x:v>측정값=DAC fault 전이 시간</x:v>
      </x:c>
    </x:row>
    <x:row r="25" ht="72" customHeight="1">
      <x:c r="A25" s="85" t="str">
        <x:v>R-04</x:v>
      </x:c>
      <x:c r="B25" s="82" t="str">
        <x:v>LAN 미연결</x:v>
      </x:c>
      <x:c r="C25" s="82" t="str">
        <x:v>Ethernet cable</x:v>
      </x:c>
      <x:c r="D25" s="82" t="str">
        <x:v>정상 상태에서 LAN을 분리한 뒤 10분 관찰하고, 재연결 후 텔레메트리 복귀를 확인합니다.</x:v>
      </x:c>
      <x:c r="E25" s="82" t="str">
        <x:v>재부팅 수, watchdog reset 징후, 재연결 시간</x:v>
      </x:c>
      <x:c r="F25" s="87" t="str">
        <x:v>재부팅 0회</x:v>
      </x:c>
      <x:c r="G25" s="82" t="str">
        <x:v>LAN 장애와 계측 task 장애를 구분</x:v>
      </x:c>
      <x:c r="H25" s="82" t="str">
        <x:v>측정값=watchdog 재부팅 반복</x:v>
      </x:c>
    </x:row>
    <x:row r="26" ht="72" customHeight="1">
      <x:c r="A26" s="85" t="str">
        <x:v>L-01</x:v>
      </x:c>
      <x:c r="B26" s="82" t="str">
        <x:v>Soak test</x:v>
      </x:c>
      <x:c r="C26" s="82" t="str">
        <x:v>전용 PC, CSV, 안정 전원</x:v>
      </x:c>
      <x:c r="D26" s="82" t="str">
        <x:v>대표 부하·입력에서 최소 24시간 연속 캡처합니다. 중간에 파일·시스템 시간·전원 조건을 점검합니다.</x:v>
      </x:c>
      <x:c r="E26" s="82" t="str">
        <x:v>frames·유실·reset·CRC/SPI/DAC 오류·온도·전압</x:v>
      </x:c>
      <x:c r="F26" s="87" t="str">
        <x:v>24 h 이상</x:v>
      </x:c>
      <x:c r="G26" s="82" t="str">
        <x:v>대용량 CSV 저장공간과 PC 절전 해제 확인</x:v>
      </x:c>
      <x:c r="H26" s="82" t="str">
        <x:v>측정값=연속 동작 시간</x:v>
      </x:c>
    </x:row>
  </x:sheetData>
  <x:mergeCells>
    <x:mergeCell ref="A1:H1"/>
    <x:mergeCell ref="A3:H3"/>
    <x:mergeCell ref="A5:H5"/>
    <x:mergeCell ref="B6:H6"/>
    <x:mergeCell ref="B7:H7"/>
    <x:mergeCell ref="B8:H8"/>
    <x:mergeCell ref="B9:H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23" hidden="0" customWidth="1"/>
    <x:col min="3" max="3" width="14" hidden="0" customWidth="1"/>
    <x:col min="4" max="4" width="24" hidden="0" customWidth="1"/>
    <x:col min="5" max="5" width="15" hidden="0" customWidth="1"/>
    <x:col min="6" max="6" width="17" hidden="0" customWidth="1"/>
    <x:col min="7" max="7" width="14" hidden="0" customWidth="1"/>
    <x:col min="8" max="8" width="10" hidden="0" customWidth="1"/>
    <x:col min="9" max="9" width="14" hidden="0" customWidth="1"/>
    <x:col min="10" max="10" width="14" hidden="0" customWidth="1"/>
    <x:col min="11" max="11" width="15" hidden="0" customWidth="1"/>
    <x:col min="12" max="12" width="12" hidden="0" customWidth="1"/>
    <x:col min="13" max="13" width="17" hidden="0" customWidth="1"/>
    <x:col min="14" max="14" width="35" hidden="0" customWidth="1"/>
    <x:col min="15" max="15" width="16" hidden="0" customWidth="1"/>
    <x:col min="16" max="16" width="50" hidden="0" customWidth="1"/>
  </x:cols>
  <x:sheetData>
    <x:row r="1" ht="28" customHeight="1">
      <x:c r="A1" s="150" t="str">
        <x:v>CSV 캡처 이력 및 분석 결과</x:v>
      </x:c>
      <x:c r="B1" s="150"/>
      <x:c r="C1" s="150"/>
      <x:c r="D1" s="150"/>
      <x:c r="E1" s="150"/>
      <x:c r="F1" s="150"/>
      <x:c r="G1" s="150"/>
      <x:c r="H1" s="150"/>
      <x:c r="I1" s="150"/>
      <x:c r="J1" s="150"/>
      <x:c r="K1" s="150"/>
      <x:c r="L1" s="150"/>
      <x:c r="M1" s="150"/>
      <x:c r="N1" s="150"/>
      <x:c r="O1" s="150"/>
      <x:c r="P1" s="150"/>
    </x:row>
    <x:row r="3">
      <x:c r="A3" s="151" t="str">
        <x:v>모든 원본 CSV는 logs/에 보관합니다. PASS는 해당 캡처의 범위에서만 유효하며, 장시간·교정 시험은 별도 시험으로 확정합니다.</x:v>
      </x:c>
      <x:c r="B3" s="151"/>
      <x:c r="C3" s="151"/>
      <x:c r="D3" s="151"/>
      <x:c r="E3" s="151"/>
      <x:c r="F3" s="151"/>
      <x:c r="G3" s="151"/>
      <x:c r="H3" s="151"/>
      <x:c r="I3" s="151"/>
      <x:c r="J3" s="151"/>
      <x:c r="K3" s="151"/>
      <x:c r="L3" s="151"/>
      <x:c r="M3" s="151"/>
      <x:c r="N3" s="151"/>
      <x:c r="O3" s="151"/>
      <x:c r="P3" s="151"/>
    </x:row>
    <x:row r="5">
      <x:c r="A5" s="152" t="str">
        <x:v>CSV 파일</x:v>
      </x:c>
      <x:c r="B5" s="152" t="str">
        <x:v>시험 목적</x:v>
      </x:c>
      <x:c r="C5" s="152" t="str">
        <x:v>FW commit</x:v>
      </x:c>
      <x:c r="D5" s="152" t="str">
        <x:v>부팅 구간</x:v>
      </x:c>
      <x:c r="E5" s="152" t="str">
        <x:v>프레임</x:v>
      </x:c>
      <x:c r="F5" s="152" t="str">
        <x:v>PC 시간 (s)</x:v>
      </x:c>
      <x:c r="G5" s="152" t="str">
        <x:v>보드 시간 (s)</x:v>
      </x:c>
      <x:c r="H5" s="152" t="str">
        <x:v>시간비</x:v>
      </x:c>
      <x:c r="I5" s="152" t="str">
        <x:v>ADC rate (Hz)</x:v>
      </x:c>
      <x:c r="J5" s="152" t="str">
        <x:v>UDP 평균 (ms)</x:v>
      </x:c>
      <x:c r="K5" s="152" t="str">
        <x:v>UDP 범위 (ms)</x:v>
      </x:c>
      <x:c r="L5" s="152" t="str">
        <x:v>드랍 최대</x:v>
      </x:c>
      <x:c r="M5" s="152" t="str">
        <x:v>오류</x:v>
      </x:c>
      <x:c r="N5" s="152" t="str">
        <x:v>입력/조건</x:v>
      </x:c>
      <x:c r="O5" s="152" t="str">
        <x:v>판정</x:v>
      </x:c>
      <x:c r="P5" s="152" t="str">
        <x:v>분석 메모</x:v>
      </x:c>
    </x:row>
    <x:row r="6" ht="48" customHeight="1">
      <x:c r="A6" s="100" t="str">
        <x:v>cosmoke_capture_20260820_082036_681100.csv</x:v>
      </x:c>
      <x:c r="B6" s="100" t="str">
        <x:v>초기 ADC 안정성 기준선</x:v>
      </x:c>
      <x:c r="C6" s="100" t="str">
        <x:v>pre-c1000cd</x:v>
      </x:c>
      <x:c r="D6" s="100" t="str">
        <x:v>1</x:v>
      </x:c>
      <x:c r="E6" s="100" t="n">
        <x:v>366</x:v>
      </x:c>
      <x:c r="F6" s="105" t="n">
        <x:v>49.573</x:v>
      </x:c>
      <x:c r="G6" s="105" t="n">
        <x:v>38.535</x:v>
      </x:c>
      <x:c r="H6" s="105" t="n">
        <x:v>0.777</x:v>
      </x:c>
      <x:c r="I6" s="105" t="n">
        <x:v>4000</x:v>
      </x:c>
      <x:c r="J6" s="105" t="n">
        <x:v>135.816</x:v>
      </x:c>
      <x:c r="K6" s="100" t="str">
        <x:v>101–167</x:v>
      </x:c>
      <x:c r="L6" s="106" t="n">
        <x:v>214883</x:v>
      </x:c>
      <x:c r="M6" s="100" t="str">
        <x:v>CRC/SPI/DAC=0</x:v>
      </x:c>
      <x:c r="N6" s="100" t="str">
        <x:v>CH1, 11 V / 5 A</x:v>
      </x:c>
      <x:c r="O6" s="153" t="str">
        <x:v>FAIL</x:v>
      </x:c>
      <x:c r="P6" s="100" t="str">
        <x:v>DMA-busy 드랍이 완료 프레임과 거의 1:1로 증가; 개선 전 기준선</x:v>
      </x:c>
    </x:row>
    <x:row r="7" ht="48" customHeight="1">
      <x:c r="A7" s="100" t="str">
        <x:v>cosmoke_capture_20260820_084802_667740.csv</x:v>
      </x:c>
      <x:c r="B7" s="100" t="str">
        <x:v>11 V 입력 ON/OFF 3회</x:v>
      </x:c>
      <x:c r="C7" s="100" t="str">
        <x:v>c1000cd</x:v>
      </x:c>
      <x:c r="D7" s="100" t="str">
        <x:v>1</x:v>
      </x:c>
      <x:c r="E7" s="100" t="n">
        <x:v>448</x:v>
      </x:c>
      <x:c r="F7" s="105" t="n">
        <x:v>102.878</x:v>
      </x:c>
      <x:c r="G7" s="105" t="n">
        <x:v>45.145</x:v>
      </x:c>
      <x:c r="H7" s="105" t="n">
        <x:v>0.439</x:v>
      </x:c>
      <x:c r="I7" s="105" t="n">
        <x:v>2000</x:v>
      </x:c>
      <x:c r="J7" s="105" t="n">
        <x:v>230.15</x:v>
      </x:c>
      <x:c r="K7" s="100" t="str">
        <x:v>229–242</x:v>
      </x:c>
      <x:c r="L7" s="106" t="n">
        <x:v>0</x:v>
      </x:c>
      <x:c r="M7" s="100" t="str">
        <x:v>CRC/SPI/DAC=0</x:v>
      </x:c>
      <x:c r="N7" s="100" t="str">
        <x:v>CH1, 11 V / 5 A</x:v>
      </x:c>
      <x:c r="O7" s="154" t="str">
        <x:v>PASS (입력 응답)</x:v>
      </x:c>
      <x:c r="P7" s="100" t="str">
        <x:v>ON 안정: 약 4.92–4.94 A / 10.951 V; OFF 안정: 약 12.6 mA / -21 mV. 시간축 수정 전</x:v>
      </x:c>
    </x:row>
    <x:row r="8" ht="48" customHeight="1">
      <x:c r="A8" s="100" t="str">
        <x:v>cosmoke_capture_20260820_085948_533730.csv</x:v>
      </x:c>
      <x:c r="B8" s="100" t="str">
        <x:v>TIM6 우선순위 수정 검증</x:v>
      </x:c>
      <x:c r="C8" s="100" t="str">
        <x:v>0062af0</x:v>
      </x:c>
      <x:c r="D8" s="100" t="str">
        <x:v>4</x:v>
      </x:c>
      <x:c r="E8" s="100" t="n">
        <x:v>494</x:v>
      </x:c>
      <x:c r="F8" s="105" t="n">
        <x:v>74.591</x:v>
      </x:c>
      <x:c r="G8" s="105"/>
      <x:c r="H8" s="105"/>
      <x:c r="I8" s="105" t="n">
        <x:v>2000</x:v>
      </x:c>
      <x:c r="J8" s="105" t="n">
        <x:v>100</x:v>
      </x:c>
      <x:c r="K8" s="100" t="str">
        <x:v>100</x:v>
      </x:c>
      <x:c r="L8" s="106" t="n">
        <x:v>39965</x:v>
      </x:c>
      <x:c r="M8" s="100" t="str">
        <x:v>초기 1회 DMA drop</x:v>
      </x:c>
      <x:c r="N8" s="100" t="str">
        <x:v>Reset 반복</x:v>
      </x:c>
      <x:c r="O8" s="155" t="str">
        <x:v>MIXED</x:v>
      </x:c>
      <x:c r="P8" s="100" t="str">
        <x:v>첫 부팅은 기존 드랍 이력 포함. 뒤 3회 부팅은 시간 1:1 및 드랍 0</x:v>
      </x:c>
    </x:row>
    <x:row r="9" ht="48" customHeight="1">
      <x:c r="A9" s="100" t="str">
        <x:v>cosmoke_capture_20260820_090258_671647.csv</x:v>
      </x:c>
      <x:c r="B9" s="100" t="str">
        <x:v>최종 시간축·ADC·UDP 확인</x:v>
      </x:c>
      <x:c r="C9" s="100" t="str">
        <x:v>0062af0</x:v>
      </x:c>
      <x:c r="D9" s="100" t="str">
        <x:v>2 (최종 2번째)</x:v>
      </x:c>
      <x:c r="E9" s="100" t="n">
        <x:v>508</x:v>
      </x:c>
      <x:c r="F9" s="105" t="n">
        <x:v>50.701</x:v>
      </x:c>
      <x:c r="G9" s="105" t="n">
        <x:v>50.699</x:v>
      </x:c>
      <x:c r="H9" s="105" t="n">
        <x:v>1</x:v>
      </x:c>
      <x:c r="I9" s="105" t="n">
        <x:v>1999.882</x:v>
      </x:c>
      <x:c r="J9" s="105" t="n">
        <x:v>100.002</x:v>
      </x:c>
      <x:c r="K9" s="100" t="str">
        <x:v>98–102</x:v>
      </x:c>
      <x:c r="L9" s="106" t="n">
        <x:v>0</x:v>
      </x:c>
      <x:c r="M9" s="100" t="str">
        <x:v>CRC/SPI/DAC=0</x:v>
      </x:c>
      <x:c r="N9" s="100" t="str">
        <x:v>11 V input; ST-LINK MCO; 2 kSPS / SPI 5.33 MHz / ring 256</x:v>
      </x:c>
      <x:c r="O9" s="154" t="str">
        <x:v>PASS (예비)</x:v>
      </x:c>
      <x:c r="P9" s="100" t="str">
        <x:v>50.7 s 동안 10.0 Hz, 시간축 1:1, 모든 드랍 원인 0</x:v>
      </x:c>
    </x:row>
    <x:row r="10" ht="48" customHeight="1">
      <x:c r="A10" s="100" t="str">
        <x:v>cosmoke_capture_20260820_091833_148511.csv</x:v>
      </x:c>
      <x:c r="B10" s="100" t="str">
        <x:v>CH1·CH2 0 입력 오프셋</x:v>
      </x:c>
      <x:c r="C10" s="100" t="str">
        <x:v>4b7b1d3</x:v>
      </x:c>
      <x:c r="D10" s="100" t="str">
        <x:v>1</x:v>
      </x:c>
      <x:c r="E10" s="100" t="n">
        <x:v>4551</x:v>
      </x:c>
      <x:c r="F10" s="105" t="n">
        <x:v>454.995</x:v>
      </x:c>
      <x:c r="G10" s="105" t="n">
        <x:v>455</x:v>
      </x:c>
      <x:c r="H10" s="105" t="n">
        <x:v>1</x:v>
      </x:c>
      <x:c r="I10" s="105" t="n">
        <x:v>2000</x:v>
      </x:c>
      <x:c r="J10" s="105" t="n">
        <x:v>100</x:v>
      </x:c>
      <x:c r="K10" s="100" t="str">
        <x:v>100</x:v>
      </x:c>
      <x:c r="L10" s="106" t="n">
        <x:v>0</x:v>
      </x:c>
      <x:c r="M10" s="100" t="str">
        <x:v>CRC/SPI/DAC=0</x:v>
      </x:c>
      <x:c r="N10" s="100" t="str">
        <x:v>0 V / 0 A; final 5 min = 3,001 frames</x:v>
      </x:c>
      <x:c r="O10" s="154" t="str">
        <x:v>PASS</x:v>
      </x:c>
      <x:c r="P10" s="100" t="str">
        <x:v>보정 전 평균: I1 +12.466 mA, V1 -11.734 mV, I2 +11.331 mA, V2 +29.593 mV; OFFSET_UNITS 적용</x:v>
      </x:c>
    </x:row>
    <x:row r="11">
      <x:c r="A11" s="156" t="str">
        <x:v>현재 검증된 펌웨어 프로파일</x:v>
      </x:c>
      <x:c r="B11" s="156"/>
      <x:c r="C11" s="156"/>
      <x:c r="D11" s="156"/>
      <x:c r="E11" s="156"/>
      <x:c r="F11" s="156"/>
      <x:c r="G11" s="156"/>
      <x:c r="H11" s="156"/>
      <x:c r="I11" s="156"/>
      <x:c r="J11" s="156"/>
      <x:c r="K11" s="156"/>
      <x:c r="L11" s="156"/>
      <x:c r="M11" s="156"/>
      <x:c r="N11" s="156"/>
      <x:c r="O11" s="156"/>
      <x:c r="P11" s="156"/>
    </x:row>
    <x:row r="12">
      <x:c r="A12" s="157" t="str">
        <x:v>설정</x:v>
      </x:c>
      <x:c r="B12" s="157" t="str">
        <x:v>현재값</x:v>
      </x:c>
      <x:c r="C12" s="157" t="str">
        <x:v>근거</x:v>
      </x:c>
      <x:c r="D12" s="157" t="str">
        <x:v>상태</x:v>
      </x:c>
    </x:row>
    <x:row r="13">
      <x:c r="A13" s="110" t="str">
        <x:v>ADC sample rate</x:v>
      </x:c>
      <x:c r="B13" s="110" t="str">
        <x:v>2,000 Hz</x:v>
      </x:c>
      <x:c r="C13" s="110" t="str">
        <x:v>최종 CSV: 1,999.882 Hz</x:v>
      </x:c>
      <x:c r="D13" s="158" t="str">
        <x:v>검증됨</x:v>
      </x:c>
    </x:row>
    <x:row r="14">
      <x:c r="A14" s="110" t="str">
        <x:v>SPI1 clock</x:v>
      </x:c>
      <x:c r="B14" s="110" t="str">
        <x:v>5.33 MHz</x:v>
      </x:c>
      <x:c r="C14" s="110" t="str">
        <x:v>ADC DMA 전송 여유 확보</x:v>
      </x:c>
      <x:c r="D14" s="158" t="str">
        <x:v>검증됨</x:v>
      </x:c>
    </x:row>
    <x:row r="15">
      <x:c r="A15" s="110" t="str">
        <x:v>TIM6 priority</x:v>
      </x:c>
      <x:c r="B15" s="110" t="str">
        <x:v>1</x:v>
      </x:c>
      <x:c r="C15" s="110" t="str">
        <x:v>PC/보드 시간 1:1</x:v>
      </x:c>
      <x:c r="D15" s="158" t="str">
        <x:v>검증됨</x:v>
      </x:c>
    </x:row>
    <x:row r="17">
      <x:c r="A17" s="156" t="str">
        <x:v>적용한 영점 보정값 (2026-08-20, 마지막 5분 평균)</x:v>
      </x:c>
      <x:c r="B17" s="156"/>
      <x:c r="C17" s="156"/>
      <x:c r="D17" s="156"/>
      <x:c r="E17" s="156"/>
      <x:c r="F17" s="156"/>
      <x:c r="G17" s="156"/>
      <x:c r="H17" s="156"/>
      <x:c r="I17" s="156"/>
      <x:c r="J17" s="156"/>
      <x:c r="K17" s="156"/>
      <x:c r="L17" s="156"/>
      <x:c r="M17" s="156"/>
      <x:c r="N17" s="156"/>
      <x:c r="O17" s="156"/>
      <x:c r="P17" s="156"/>
    </x:row>
    <x:row r="18">
      <x:c r="A18" s="157" t="str">
        <x:v>채널</x:v>
      </x:c>
      <x:c r="B18" s="157" t="str">
        <x:v>측정 평균</x:v>
      </x:c>
      <x:c r="C18" s="157" t="str">
        <x:v>단위</x:v>
      </x:c>
      <x:c r="D18" s="157" t="str">
        <x:v>펌웨어 매크로</x:v>
      </x:c>
      <x:c r="E18" s="157" t="str">
        <x:v>적용 OFFSET_UNITS</x:v>
      </x:c>
      <x:c r="F18" s="157" t="str">
        <x:v>CSV</x:v>
      </x:c>
    </x:row>
    <x:row r="19">
      <x:c r="A19" s="110" t="str">
        <x:v>CH1 Current</x:v>
      </x:c>
      <x:c r="B19" s="110" t="n">
        <x:v>12.466</x:v>
      </x:c>
      <x:c r="C19" s="110" t="str">
        <x:v>mA</x:v>
      </x:c>
      <x:c r="D19" s="110" t="str">
        <x:v>APP_CH0_OFFSET_UNITS</x:v>
      </x:c>
      <x:c r="E19" s="126" t="n">
        <x:v>-0.012466</x:v>
      </x:c>
      <x:c r="F19" s="110" t="str">
        <x:v>091833_148511</x:v>
      </x:c>
    </x:row>
    <x:row r="20">
      <x:c r="A20" s="110" t="str">
        <x:v>CH1 Voltage</x:v>
      </x:c>
      <x:c r="B20" s="110" t="n">
        <x:v>-11.734</x:v>
      </x:c>
      <x:c r="C20" s="110" t="str">
        <x:v>mV</x:v>
      </x:c>
      <x:c r="D20" s="110" t="str">
        <x:v>APP_CH1_OFFSET_UNITS</x:v>
      </x:c>
      <x:c r="E20" s="126" t="n">
        <x:v>0.011734</x:v>
      </x:c>
      <x:c r="F20" s="110" t="str">
        <x:v>091833_148511</x:v>
      </x:c>
    </x:row>
    <x:row r="21">
      <x:c r="A21" s="110" t="str">
        <x:v>CH2 Current</x:v>
      </x:c>
      <x:c r="B21" s="110" t="n">
        <x:v>11.331</x:v>
      </x:c>
      <x:c r="C21" s="110" t="str">
        <x:v>mA</x:v>
      </x:c>
      <x:c r="D21" s="110" t="str">
        <x:v>APP_CH2_OFFSET_UNITS</x:v>
      </x:c>
      <x:c r="E21" s="126" t="n">
        <x:v>-0.011331</x:v>
      </x:c>
      <x:c r="F21" s="110" t="str">
        <x:v>091833_148511</x:v>
      </x:c>
    </x:row>
    <x:row r="22">
      <x:c r="A22" s="110" t="str">
        <x:v>CH2 Voltage</x:v>
      </x:c>
      <x:c r="B22" s="110" t="n">
        <x:v>29.593</x:v>
      </x:c>
      <x:c r="C22" s="110" t="str">
        <x:v>mV</x:v>
      </x:c>
      <x:c r="D22" s="110" t="str">
        <x:v>APP_CH3_OFFSET_UNITS</x:v>
      </x:c>
      <x:c r="E22" s="126" t="n">
        <x:v>-0.029593</x:v>
      </x:c>
      <x:c r="F22" s="110" t="str">
        <x:v>091833_148511</x:v>
      </x:c>
    </x:row>
    <x:row r="24">
      <x:c r="A24" s="156" t="str">
        <x:v>추가 캡처: 양 채널 11 V / 5 A 장시간 부하 시험</x:v>
      </x:c>
      <x:c r="B24" s="156"/>
      <x:c r="C24" s="156"/>
      <x:c r="D24" s="156"/>
      <x:c r="E24" s="156"/>
      <x:c r="F24" s="156"/>
      <x:c r="G24" s="156"/>
      <x:c r="H24" s="156"/>
      <x:c r="I24" s="156"/>
      <x:c r="J24" s="156"/>
      <x:c r="K24" s="156"/>
      <x:c r="L24" s="156"/>
      <x:c r="M24" s="156"/>
      <x:c r="N24" s="156"/>
      <x:c r="O24" s="156"/>
      <x:c r="P24" s="156"/>
    </x:row>
    <x:row r="25">
      <x:c r="A25" s="152" t="str">
        <x:v>CSV 파일</x:v>
      </x:c>
      <x:c r="B25" s="152" t="str">
        <x:v>시험 목적</x:v>
      </x:c>
      <x:c r="C25" s="152" t="str">
        <x:v>FW commit</x:v>
      </x:c>
      <x:c r="D25" s="152" t="str">
        <x:v>부팅 구간</x:v>
      </x:c>
      <x:c r="E25" s="152" t="str">
        <x:v>프레임</x:v>
      </x:c>
      <x:c r="F25" s="152" t="str">
        <x:v>PC 시간 (s)</x:v>
      </x:c>
      <x:c r="G25" s="152" t="str">
        <x:v>보드 시간 (s)</x:v>
      </x:c>
      <x:c r="H25" s="152" t="str">
        <x:v>시간비</x:v>
      </x:c>
      <x:c r="I25" s="152" t="str">
        <x:v>ADC rate (Hz)</x:v>
      </x:c>
      <x:c r="J25" s="152" t="str">
        <x:v>UDP 평균 (ms)</x:v>
      </x:c>
      <x:c r="K25" s="152" t="str">
        <x:v>UDP 범위 (ms)</x:v>
      </x:c>
      <x:c r="L25" s="152" t="str">
        <x:v>드랍 최대</x:v>
      </x:c>
      <x:c r="M25" s="152" t="str">
        <x:v>오류</x:v>
      </x:c>
      <x:c r="N25" s="152" t="str">
        <x:v>입력/조건</x:v>
      </x:c>
      <x:c r="O25" s="152" t="str">
        <x:v>판정</x:v>
      </x:c>
      <x:c r="P25" s="152" t="str">
        <x:v>분석 메모</x:v>
      </x:c>
    </x:row>
    <x:row r="26" ht="52" customHeight="1">
      <x:c r="A26" s="100" t="str">
        <x:v>cosmoke_capture_20260820_094031_980220.csv</x:v>
      </x:c>
      <x:c r="B26" s="100" t="str">
        <x:v>양 채널 11 V / 5 A 27.7분</x:v>
      </x:c>
      <x:c r="C26" s="100" t="str">
        <x:v>4b7b1d3 (pre-gain)</x:v>
      </x:c>
      <x:c r="D26" s="100" t="str">
        <x:v>1</x:v>
      </x:c>
      <x:c r="E26" s="100" t="n">
        <x:v>16621</x:v>
      </x:c>
      <x:c r="F26" s="105" t="n">
        <x:v>1661.982</x:v>
      </x:c>
      <x:c r="G26" s="105" t="n">
        <x:v>1662</x:v>
      </x:c>
      <x:c r="H26" s="105" t="n">
        <x:v>1</x:v>
      </x:c>
      <x:c r="I26" s="105" t="n">
        <x:v>1999.931</x:v>
      </x:c>
      <x:c r="J26" s="105" t="n">
        <x:v>99.999</x:v>
      </x:c>
      <x:c r="K26" s="100" t="str">
        <x:v>0–218</x:v>
      </x:c>
      <x:c r="L26" s="106" t="n">
        <x:v>0</x:v>
      </x:c>
      <x:c r="M26" s="100" t="str">
        <x:v>CRC/SPI/DAC=0</x:v>
      </x:c>
      <x:c r="N26" s="100" t="str">
        <x:v>CH1+CH2 11 V / 5 A</x:v>
      </x:c>
      <x:c r="O26" s="154" t="str">
        <x:v>PASS (안정성)</x:v>
      </x:c>
      <x:c r="P26" s="100" t="str">
        <x:v>0 입력 구간 44프레임 제외. 게인 오차: I1 +5.97%, V1 +9.80%, I2 +3.32%, V2 +10.44%; SCALE_TRIM 적용 후 재시험 필요</x:v>
      </x:c>
    </x:row>
  </x:sheetData>
  <x:mergeCells>
    <x:mergeCell ref="A1:P1"/>
    <x:mergeCell ref="A3:P3"/>
    <x:mergeCell ref="A11:P11"/>
    <x:mergeCell ref="A17:P17"/>
    <x:mergeCell ref="A24:P24"/>
  </x:mergeCells>
  <x:pageMargins left="0.7" right="0.7" top="0.75" bottom="0.75" header="0.3" footer="0.3"/>
</x:worksheet>
</file>