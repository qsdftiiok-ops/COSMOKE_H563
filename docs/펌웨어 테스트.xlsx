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m32\COSMOKE_H563\docs\"/>
    </mc:Choice>
  </mc:AlternateContent>
  <xr:revisionPtr revIDLastSave="0" documentId="8_{C336F14F-9170-4958-AC53-C28153C1ADB8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Dashboard" sheetId="1" r:id="rId1"/>
    <sheet name="테스트 계획" sheetId="2" r:id="rId2"/>
    <sheet name="테스트 결과" sheetId="3" r:id="rId3"/>
    <sheet name="Tuning Profiles" sheetId="4" state="hidden" r:id="rId4"/>
    <sheet name="Test Procedures" sheetId="5" state="hidden" r:id="rId5"/>
    <sheet name="테스트 기록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3" l="1"/>
  <c r="Q15" i="3"/>
  <c r="Q14" i="3"/>
  <c r="Q12" i="3"/>
  <c r="Q11" i="3"/>
  <c r="Q10" i="3"/>
  <c r="E9" i="1" s="1"/>
  <c r="Q9" i="3"/>
  <c r="Q8" i="3"/>
  <c r="Q7" i="3"/>
  <c r="Q6" i="3"/>
  <c r="B9" i="1" s="1"/>
  <c r="G12" i="1"/>
  <c r="F12" i="1"/>
  <c r="E12" i="1"/>
  <c r="G11" i="1"/>
  <c r="F11" i="1"/>
  <c r="E11" i="1"/>
  <c r="G10" i="1"/>
  <c r="F10" i="1"/>
  <c r="E10" i="1"/>
  <c r="F8" i="1"/>
  <c r="B6" i="1" l="1"/>
  <c r="B10" i="1" s="1"/>
  <c r="B7" i="1"/>
  <c r="E8" i="1"/>
  <c r="G8" i="1"/>
  <c r="G9" i="1"/>
  <c r="F9" i="1"/>
  <c r="B8" i="1"/>
</calcChain>
</file>

<file path=xl/sharedStrings.xml><?xml version="1.0" encoding="utf-8"?>
<sst xmlns="http://schemas.openxmlformats.org/spreadsheetml/2006/main" count="635" uniqueCount="355">
  <si>
    <t>COSMOKE H563 펌웨어 성능 시험 기록표</t>
  </si>
  <si>
    <t>시험 결과는 'Test Log' 탭에 입력합니다. Dashboard의 판정과 합격률은 자동 계산됩니다.</t>
  </si>
  <si>
    <t>시험 현황</t>
  </si>
  <si>
    <t>총 시험 항목</t>
  </si>
  <si>
    <t>카테고리별 결과</t>
  </si>
  <si>
    <t>PASS</t>
  </si>
  <si>
    <t>카테고리</t>
  </si>
  <si>
    <t>FAIL</t>
  </si>
  <si>
    <t>미입력/확인</t>
  </si>
  <si>
    <t>기능</t>
  </si>
  <si>
    <t>입력 대기</t>
  </si>
  <si>
    <t>계측 정확도</t>
  </si>
  <si>
    <t>합격률</t>
  </si>
  <si>
    <t>시간 성능</t>
  </si>
  <si>
    <t>통신</t>
  </si>
  <si>
    <t>장시간 안정성</t>
  </si>
  <si>
    <t>펌웨어 성능 시험 계획</t>
  </si>
  <si>
    <t>목표값은 프로젝트 요구사항에 맞게 승인 후 수정하십시오. Test Log에 동일한 ID로 실제 결과를 기록합니다.</t>
  </si>
  <si>
    <t>ID</t>
  </si>
  <si>
    <t>시험 항목</t>
  </si>
  <si>
    <t>측정 지표</t>
  </si>
  <si>
    <t>단위</t>
  </si>
  <si>
    <t>권장 기준</t>
  </si>
  <si>
    <t>비교</t>
  </si>
  <si>
    <t>방법/장비</t>
  </si>
  <si>
    <t>우선순위</t>
  </si>
  <si>
    <t>비고</t>
  </si>
  <si>
    <t>F-01</t>
  </si>
  <si>
    <t>부팅 상태 전이</t>
  </si>
  <si>
    <t>WARMUP→ACTIVE</t>
  </si>
  <si>
    <t>s</t>
  </si>
  <si>
    <t>최대</t>
  </si>
  <si>
    <t>UART/UDP 로그, 스톱워치</t>
  </si>
  <si>
    <t>P0</t>
  </si>
  <si>
    <t>GUI 첫 VALID 텔레메트리 기준 3초 이내</t>
  </si>
  <si>
    <t>A-01</t>
  </si>
  <si>
    <t>영점 오차</t>
  </si>
  <si>
    <t>0 입력 오차</t>
  </si>
  <si>
    <t>%FS</t>
  </si>
  <si>
    <t>정밀 DMM/캘리브레이터</t>
  </si>
  <si>
    <t>채널별 기록</t>
  </si>
  <si>
    <t>A-02</t>
  </si>
  <si>
    <t>gain 오차</t>
  </si>
  <si>
    <t>100% span 오차</t>
  </si>
  <si>
    <t>정밀 전압·전류원</t>
  </si>
  <si>
    <t>보정 전/후 비교</t>
  </si>
  <si>
    <t>A-03</t>
  </si>
  <si>
    <t>선형성</t>
  </si>
  <si>
    <t>0/50/100% 최대 편차</t>
  </si>
  <si>
    <t>P1</t>
  </si>
  <si>
    <t>다점 결과 첨부</t>
  </si>
  <si>
    <t>A-04</t>
  </si>
  <si>
    <t>입력 노이즈</t>
  </si>
  <si>
    <t>RMS noise</t>
  </si>
  <si>
    <t>mV/mA</t>
  </si>
  <si>
    <t>고정 입력 10분 로그</t>
  </si>
  <si>
    <t>필터 설정 기록</t>
  </si>
  <si>
    <t>T-01</t>
  </si>
  <si>
    <t>ADC 수집률</t>
  </si>
  <si>
    <t>실제 sample rate</t>
  </si>
  <si>
    <t>Hz</t>
  </si>
  <si>
    <t>최소</t>
  </si>
  <si>
    <t>logic analyzer / timestamp</t>
  </si>
  <si>
    <t>명목 2 kSPS; 합격 기준은 1,980 Hz 이상 (±1%)</t>
  </si>
  <si>
    <t>T-02</t>
  </si>
  <si>
    <t>DMA/링버퍼</t>
  </si>
  <si>
    <t>dropped frames</t>
  </si>
  <si>
    <t>count</t>
  </si>
  <si>
    <t>일치</t>
  </si>
  <si>
    <t>telemetry counter</t>
  </si>
  <si>
    <t>10분 부하 시험</t>
  </si>
  <si>
    <t>N-01</t>
  </si>
  <si>
    <t>UDP 전송률</t>
  </si>
  <si>
    <t>송신 주기</t>
  </si>
  <si>
    <t>ms</t>
  </si>
  <si>
    <t>PC timestamp log</t>
  </si>
  <si>
    <t>명목 100 ms; 합격 범위는 평균 95–105 ms</t>
  </si>
  <si>
    <t>N-02</t>
  </si>
  <si>
    <t>UDP 손실</t>
  </si>
  <si>
    <t>sequence gap rate</t>
  </si>
  <si>
    <t>%</t>
  </si>
  <si>
    <t>PC monitor</t>
  </si>
  <si>
    <t>동일 LAN 기준</t>
  </si>
  <si>
    <t>L-01</t>
  </si>
  <si>
    <t>양 채널 부하 안정성</t>
  </si>
  <si>
    <t>연속 운전</t>
  </si>
  <si>
    <t>min</t>
  </si>
  <si>
    <t>PC CSV / 대시보드</t>
  </si>
  <si>
    <t>CH1+CH2 11 V / 5 A, 27.7분 검증; 다시간 soak은 범위 제외</t>
  </si>
  <si>
    <t>성능 시험 결과 기록</t>
  </si>
  <si>
    <t>연한 파란색 열은 입력 영역입니다. Result는 Target/비교/측정값으로 자동 판정되며, 증빙 파일·로그 경로를 함께 남깁니다.</t>
  </si>
  <si>
    <t>시험일</t>
  </si>
  <si>
    <t>FW 버전/commit</t>
  </si>
  <si>
    <t>목표값</t>
  </si>
  <si>
    <t>측정값</t>
  </si>
  <si>
    <t>평균</t>
  </si>
  <si>
    <t>표준편차</t>
  </si>
  <si>
    <t>샘플 수</t>
  </si>
  <si>
    <t>환경/조건</t>
  </si>
  <si>
    <t>Result</t>
  </si>
  <si>
    <t>실행 상태</t>
  </si>
  <si>
    <t>담당자</t>
  </si>
  <si>
    <t>증빙 경로</t>
  </si>
  <si>
    <t>4b7b1d3</t>
  </si>
  <si>
    <t>Reset 후 GUI 첫 VALID 텔레메트리</t>
  </si>
  <si>
    <t>통과</t>
  </si>
  <si>
    <t>지명환</t>
  </si>
  <si>
    <t>반복 부팅 관찰상 GUI 첫 정상 데이터가 보드 시간 약 2–3초. 대표 CSV 첫 VALID 2.312초.</t>
  </si>
  <si>
    <t>logs/cosmoke_capture_20260820_091833_148511.csv</t>
  </si>
  <si>
    <t>CH1·CH2 영점</t>
  </si>
  <si>
    <t>0 입력 최대 오차</t>
  </si>
  <si>
    <t>0 V / 0 A; CH1+CH2; final 5 min</t>
  </si>
  <si>
    <t>CH1 I +12.466 mA, V -11.734 mV; CH2 I +11.331 mA, V +29.593 mV. OFFSET_UNITS 적용.</t>
  </si>
  <si>
    <t>4b7b1d3 (pre-gain)</t>
  </si>
  <si>
    <t>CH1·CH2 gain</t>
  </si>
  <si>
    <t>100% span 최대 오차</t>
  </si>
  <si>
    <t>11 V / 5 A; CH1+CH2; user-induced input interruption excluded</t>
  </si>
  <si>
    <t>현장 검증 이관</t>
  </si>
  <si>
    <t>벤치 합격 판정에서는 제외. 보정 전 데이터와 SCALE_TRIM 적용 이력은 보존하며 실제 운용 환경에서 검증.</t>
  </si>
  <si>
    <t>logs/cosmoke_capture_20260820_094031_980220.csv</t>
  </si>
  <si>
    <t>f9ceb9a</t>
  </si>
  <si>
    <t>CH1·CH2 선형성</t>
  </si>
  <si>
    <t>CH1+CH2; CSV 구간 0 V / 약 5 V / 약 10 V</t>
  </si>
  <si>
    <t>50% 점 편차: I1 0.2803%, V1 0.0184%, I2 0.2569%, V2 0.0098%FS. 절대 게인은 현장 검증 이관.</t>
  </si>
  <si>
    <t>logs/cosmoke_capture_20260820_103337_769201.csv</t>
  </si>
  <si>
    <t>CH1·CH2 입력 노이즈</t>
  </si>
  <si>
    <t>11 V / 5 A; CH1+CH2; final stable 5 min</t>
  </si>
  <si>
    <t>RMS: I1 0.209 mA, V1 13.141 mV, I2 0.397 mA, V2 18.206 mV (최대값 판정).</t>
  </si>
  <si>
    <t>11 V / 5 A; CH1+CH2; 27.7 min, pre-gain trim</t>
  </si>
  <si>
    <t>PC/보드 시간 1:1, ADC 1,999.931 Hz</t>
  </si>
  <si>
    <t>27.7 min 동안 모든 드롭 원인 0</t>
  </si>
  <si>
    <t>평균 99.999 ms; PC 수신 타임스탬프 최대 gap 218 ms</t>
  </si>
  <si>
    <t>ADC sequence 간격 최대 201 (정상 200)으로 UDP 손실 0%. PC 수신 gap 218 ms 1회는 호스트 지연으로 분리.</t>
  </si>
  <si>
    <t>CH1+CH2 11 V / 5 A; 27.7 min; pre-gain trim</t>
  </si>
  <si>
    <t>27.7분 동안 ADC 1,999.931 Hz, dropped/CRC/SPI/DAC 오류 0, UDP sequence loss 0%.</t>
  </si>
  <si>
    <t>성능 튜닝 프로파일</t>
  </si>
  <si>
    <t>설정 변경은 한 번에 하나씩 시험하고, 결과는 Test Log에 연결해 근거를 남기십시오. Current 값은 현재 펌웨어 설정 기준입니다.</t>
  </si>
  <si>
    <t>설정</t>
  </si>
  <si>
    <t>현재값</t>
  </si>
  <si>
    <t>Debug 제안</t>
  </si>
  <si>
    <t>Bench 제안</t>
  </si>
  <si>
    <t>Production 제안</t>
  </si>
  <si>
    <t>영향</t>
  </si>
  <si>
    <t>검증 지표</t>
  </si>
  <si>
    <t>APP_CHx_FILTER_ALPHA</t>
  </si>
  <si>
    <t>ratio</t>
  </si>
  <si>
    <t>값이 작을수록 노이즈 감소·응답 지연 증가</t>
  </si>
  <si>
    <t>RMS noise / DAC settling</t>
  </si>
  <si>
    <t>APP_DAC_UPDATE_PERIOD_MS</t>
  </si>
  <si>
    <t>작을수록 DAC 응답 향상·SPI 부하 증가</t>
  </si>
  <si>
    <t>dropped frames / response time</t>
  </si>
  <si>
    <t>APP_TELEMETRY_PERIOD_MS</t>
  </si>
  <si>
    <t>작을수록 관측성 향상·LAN/UART 부하 증가</t>
  </si>
  <si>
    <t>UDP loss / jitter</t>
  </si>
  <si>
    <t>APP_ADC_RING_CAPACITY</t>
  </si>
  <si>
    <t>frames</t>
  </si>
  <si>
    <t>증가 시 task 지연 흡수·RAM 사용 증가</t>
  </si>
  <si>
    <t>dropped frames / RAM</t>
  </si>
  <si>
    <t>APP_ADC_NO_PROGRESS_TIMEOUT_MS</t>
  </si>
  <si>
    <t>작을수록 빠른 fault 감지·false recovery 위험</t>
  </si>
  <si>
    <t>fault transition time</t>
  </si>
  <si>
    <t>APP_ADC_MAX_CONSECUTIVE_CRC_ERRORS</t>
  </si>
  <si>
    <t>작을수록 빠른 CRC fault 감지</t>
  </si>
  <si>
    <t>noise fault injection</t>
  </si>
  <si>
    <t>APP_WARMUP_TIMEOUT_MS</t>
  </si>
  <si>
    <t>초기 안정화 여유와 startup time tradeoff</t>
  </si>
  <si>
    <t>WARMUP→ACTIVE time</t>
  </si>
  <si>
    <t>시험 절차 및 기록 방법</t>
  </si>
  <si>
    <t>각 시험은 Test Log의 동일 ID에 기록합니다. CSV 캡처 파일명·보드 식별·펌웨어 commit·측정 장비·온도/전원 조건을 함께 남겨야 재현 가능합니다.</t>
  </si>
  <si>
    <t>공통 준비 및 안전</t>
  </si>
  <si>
    <t>1</t>
  </si>
  <si>
    <t>보드 전원·Ethernet·PC IP를 확인하고, 실부하 대신 더미 부하 또는 안전한 계측 환경부터 사용합니다.</t>
  </si>
  <si>
    <t>2</t>
  </si>
  <si>
    <t>대시보드에서 WARMUP → ACTIVE/OK 전이를 확인합니다. 오류 플래그가 있으면 원인을 해결한 뒤 시험을 시작합니다.</t>
  </si>
  <si>
    <t>3</t>
  </si>
  <si>
    <t>대시보드의 CSV 저장 시작을 눌러 시험별 파일을 만듭니다. 예: 20260819_R01_SPI_fault_board01.csv</t>
  </si>
  <si>
    <t>4</t>
  </si>
  <si>
    <t>시험 종료 후 CSV 저장 종료를 누르고, Test Log의 측정값·최소·최대·평균·표준편차·증빙 경로를 작성합니다.</t>
  </si>
  <si>
    <t>시험</t>
  </si>
  <si>
    <t>사전 준비/장비</t>
  </si>
  <si>
    <t>절차</t>
  </si>
  <si>
    <t>기록값·CSV 확인</t>
  </si>
  <si>
    <t>판정 기준</t>
  </si>
  <si>
    <t>안전·주의</t>
  </si>
  <si>
    <t>Test Log 작성</t>
  </si>
  <si>
    <t>전원을 3회 재인가합니다. 매 회 WARMUP 표시부터 ACTIVE/OK까지 시간을 측정합니다.</t>
  </si>
  <si>
    <t>CSV의 received_at·device_ms, 첫 ACTIVE 프레임</t>
  </si>
  <si>
    <t>3 s 이내</t>
  </si>
  <si>
    <t>실부하 연결 전 수행</t>
  </si>
  <si>
    <t>측정값=최대 전이 시간, 샘플 수=3</t>
  </si>
  <si>
    <t>정밀 DMM, 입력 단락/0 기준</t>
  </si>
  <si>
    <t>채널별 0 입력을 5분 이상 유지하고 안정화 후 100프레임 이상을 분석합니다.</t>
  </si>
  <si>
    <t>채널별 평균·최대 절대 오차, CSV 경로</t>
  </si>
  <si>
    <t>0.2 %FS 이하</t>
  </si>
  <si>
    <t>입력 단락 조건과 필터 설정을 기록</t>
  </si>
  <si>
    <t>측정값=최대 절대 오차</t>
  </si>
  <si>
    <t>절대 gain 확인</t>
  </si>
  <si>
    <t>정밀 전압/전류원, DMM</t>
  </si>
  <si>
    <t>0/50/100 %FS 기준점을 순서대로 인가하고 각 점에서 30초 이상 기록합니다.</t>
  </si>
  <si>
    <t>기준값·표시 평균·오차(%FS), 보정 전/후 CSV</t>
  </si>
  <si>
    <t>0.5 %FS 이하</t>
  </si>
  <si>
    <t>현장 계측 환경에서 최종 검증</t>
  </si>
  <si>
    <t>Result=FIELD로 이관 기록</t>
  </si>
  <si>
    <t>정밀 전압/전류원</t>
  </si>
  <si>
    <t>0/50/100 %FS를 상승·하강 방향으로 인가합니다.</t>
  </si>
  <si>
    <t>각 점 평균값과 직선 대비 최대 편차</t>
  </si>
  <si>
    <t>1.0 %FS 이하</t>
  </si>
  <si>
    <t>히스테리시스는 비고에 별도 기록</t>
  </si>
  <si>
    <t>측정값=최대 편차</t>
  </si>
  <si>
    <t>차폐 입력/고정 기준원, CSV</t>
  </si>
  <si>
    <t>고정 입력에서 5분 이상 캡처합니다. 필요 시 필터 alpha를 한 값씩만 변경해 비교합니다.</t>
  </si>
  <si>
    <t>RMS·표준편차·peak-to-peak, CSV sequence gap</t>
  </si>
  <si>
    <t>50 mV/mA 이하</t>
  </si>
  <si>
    <t>전원·접지·케이블 상태 기록</t>
  </si>
  <si>
    <t>측정값=RMS 또는 표준편차</t>
  </si>
  <si>
    <t>PC CSV 또는 logic analyzer</t>
  </si>
  <si>
    <t>정상 입력에서 1분 이상 캡처하고 sequence/device_ms로 실제 수집률을 계산합니다.</t>
  </si>
  <si>
    <t>프레임 수·경과시간·dropped·CRC/SPI 오류</t>
  </si>
  <si>
    <t>1,980 Hz 이상</t>
  </si>
  <si>
    <t>텔레메트리는 100 ms이므로 ADC 윗값은 별도 계산</t>
  </si>
  <si>
    <t>측정값=실제 sample rate</t>
  </si>
  <si>
    <t>대시보드 CSV, 부하 조건</t>
  </si>
  <si>
    <t>CPU·네트워크 부하를 단계적으로 올려 10분 이상 실행합니다.</t>
  </si>
  <si>
    <t>dropped counter, sequence gap, CRC/SPI 오류</t>
  </si>
  <si>
    <t>dropped=0</t>
  </si>
  <si>
    <t>한 번에 하나의 부하만 변경</t>
  </si>
  <si>
    <t>측정값=dropped frames</t>
  </si>
  <si>
    <t>PC CSV 캡처</t>
  </si>
  <si>
    <t>1분 이상 캡처한 뒤 received_at 인접 행 차이를 계산합니다.</t>
  </si>
  <si>
    <t>평균 주기·최대 jitter·수신 frame 수</t>
  </si>
  <si>
    <t>평균 95–105 ms</t>
  </si>
  <si>
    <t>PC 순간 부하는 비고에 기록</t>
  </si>
  <si>
    <t>측정값=평균 송신 주기</t>
  </si>
  <si>
    <t>PC CSV 캡처, 동일 LAN</t>
  </si>
  <si>
    <t>10분 이상 캡처하고 sequence 누락과 모니터 종료 요약을 확인합니다.</t>
  </si>
  <si>
    <t>estimated_udp_loss ÷ frames × 100, reset 구간</t>
  </si>
  <si>
    <t>0.1 % 이하</t>
  </si>
  <si>
    <t>Wi-Fi 대신 유선·동일 VLAN 권장</t>
  </si>
  <si>
    <t>측정값=sequence gap rate</t>
  </si>
  <si>
    <t>PC CSV, Keysight E36233A</t>
  </si>
  <si>
    <t>양 채널에 11 V / 5 A를 인가하고 25분 이상 연속 캡처합니다.</t>
  </si>
  <si>
    <t>운전 시간·ADC rate·dropped·CRC/SPI/DAC·UDP loss</t>
  </si>
  <si>
    <t>25 min 이상, 오류 0</t>
  </si>
  <si>
    <t>다시간 soak·고의 fault 주입은 본 범위에서 제외</t>
  </si>
  <si>
    <t>측정값=연속 운전 시간</t>
  </si>
  <si>
    <t>CSV 캡처 이력 및 분석 결과</t>
  </si>
  <si>
    <t>모든 원본 CSV는 logs/에 보관합니다. PASS는 해당 캡처의 범위에서만 유효하며, 장시간·교정 시험은 별도 시험으로 확정합니다.</t>
  </si>
  <si>
    <t>CSV 파일</t>
  </si>
  <si>
    <t>시험 목적</t>
  </si>
  <si>
    <t>FW commit</t>
  </si>
  <si>
    <t>부팅 구간</t>
  </si>
  <si>
    <t>프레임</t>
  </si>
  <si>
    <t>PC 시간 (s)</t>
  </si>
  <si>
    <t>보드 시간 (s)</t>
  </si>
  <si>
    <t>시간비</t>
  </si>
  <si>
    <t>ADC rate (Hz)</t>
  </si>
  <si>
    <t>UDP 평균 (ms)</t>
  </si>
  <si>
    <t>UDP 범위 (ms)</t>
  </si>
  <si>
    <t>드랍 최대</t>
  </si>
  <si>
    <t>오류</t>
  </si>
  <si>
    <t>입력/조건</t>
  </si>
  <si>
    <t>판정</t>
  </si>
  <si>
    <t>분석 메모</t>
  </si>
  <si>
    <t>cosmoke_capture_20260820_082036_681100.csv</t>
  </si>
  <si>
    <t>초기 ADC 안정성 기준선</t>
  </si>
  <si>
    <t>pre-c1000cd</t>
  </si>
  <si>
    <t>101–167</t>
  </si>
  <si>
    <t>CRC/SPI/DAC=0</t>
  </si>
  <si>
    <t>CH1, 11 V / 5 A</t>
  </si>
  <si>
    <t>DMA-busy 드랍이 완료 프레임과 거의 1:1로 증가; 개선 전 기준선</t>
  </si>
  <si>
    <t>cosmoke_capture_20260820_084802_667740.csv</t>
  </si>
  <si>
    <t>11 V 입력 ON/OFF 3회</t>
  </si>
  <si>
    <t>c1000cd</t>
  </si>
  <si>
    <t>229–242</t>
  </si>
  <si>
    <t>PASS (입력 응답)</t>
  </si>
  <si>
    <t>ON 안정: 약 4.92–4.94 A / 10.951 V; OFF 안정: 약 12.6 mA / -21 mV. 시간축 수정 전</t>
  </si>
  <si>
    <t>cosmoke_capture_20260820_085948_533730.csv</t>
  </si>
  <si>
    <t>TIM6 우선순위 수정 검증</t>
  </si>
  <si>
    <t>0062af0</t>
  </si>
  <si>
    <t>100</t>
  </si>
  <si>
    <t>초기 1회 DMA drop</t>
  </si>
  <si>
    <t>Reset 반복</t>
  </si>
  <si>
    <t>MIXED</t>
  </si>
  <si>
    <t>첫 부팅은 기존 드랍 이력 포함. 뒤 3회 부팅은 시간 1:1 및 드랍 0</t>
  </si>
  <si>
    <t>cosmoke_capture_20260820_090258_671647.csv</t>
  </si>
  <si>
    <t>최종 시간축·ADC·UDP 확인</t>
  </si>
  <si>
    <t>2 (최종 2번째)</t>
  </si>
  <si>
    <t>98–102</t>
  </si>
  <si>
    <t>11 V input; ST-LINK MCO; 2 kSPS / SPI 5.33 MHz / ring 256</t>
  </si>
  <si>
    <t>PASS (예비)</t>
  </si>
  <si>
    <t>50.7 s 동안 10.0 Hz, 시간축 1:1, 모든 드랍 원인 0</t>
  </si>
  <si>
    <t>cosmoke_capture_20260820_091833_148511.csv</t>
  </si>
  <si>
    <t>CH1·CH2 0 입력 오프셋</t>
  </si>
  <si>
    <t>0 V / 0 A; final 5 min = 3,001 frames</t>
  </si>
  <si>
    <t>보정 전 평균: I1 +12.466 mA, V1 -11.734 mV, I2 +11.331 mA, V2 +29.593 mV; OFFSET_UNITS 적용</t>
  </si>
  <si>
    <t>현재 검증된 펌웨어 프로파일</t>
  </si>
  <si>
    <t>근거</t>
  </si>
  <si>
    <t>상태</t>
  </si>
  <si>
    <t>ADC sample rate</t>
  </si>
  <si>
    <t>2,000 Hz</t>
  </si>
  <si>
    <t>최종 CSV: 1,999.882 Hz</t>
  </si>
  <si>
    <t>검증됨</t>
  </si>
  <si>
    <t>SPI1 clock</t>
  </si>
  <si>
    <t>5.33 MHz</t>
  </si>
  <si>
    <t>ADC DMA 전송 여유 확보</t>
  </si>
  <si>
    <t>TIM6 priority</t>
  </si>
  <si>
    <t>PC/보드 시간 1:1</t>
  </si>
  <si>
    <t>적용한 영점 보정값 (2026-08-20, 마지막 5분 평균)</t>
  </si>
  <si>
    <t>채널</t>
  </si>
  <si>
    <t>측정 평균</t>
  </si>
  <si>
    <t>펌웨어 매크로</t>
  </si>
  <si>
    <t>적용 OFFSET_UNITS</t>
  </si>
  <si>
    <t>CSV</t>
  </si>
  <si>
    <t>CH1 Current</t>
  </si>
  <si>
    <t>mA</t>
  </si>
  <si>
    <t>APP_CH0_OFFSET_UNITS</t>
  </si>
  <si>
    <t>091833_148511</t>
  </si>
  <si>
    <t>CH1 Voltage</t>
  </si>
  <si>
    <t>mV</t>
  </si>
  <si>
    <t>APP_CH1_OFFSET_UNITS</t>
  </si>
  <si>
    <t>CH2 Current</t>
  </si>
  <si>
    <t>APP_CH2_OFFSET_UNITS</t>
  </si>
  <si>
    <t>CH2 Voltage</t>
  </si>
  <si>
    <t>APP_CH3_OFFSET_UNITS</t>
  </si>
  <si>
    <t>추가 캡처: 양 채널 11 V / 5 A 장시간 부하 시험</t>
  </si>
  <si>
    <t>cosmoke_capture_20260820_094031_980220.csv</t>
  </si>
  <si>
    <t>양 채널 11 V / 5 A 27.7분</t>
  </si>
  <si>
    <t>0–218</t>
  </si>
  <si>
    <t>CH1+CH2 11 V / 5 A</t>
  </si>
  <si>
    <t>PASS (안정성)</t>
  </si>
  <si>
    <t>0 입력 구간 44프레임 제외. 게인 오차: I1 +5.97%, V1 +9.80%, I2 +3.32%, V2 +10.44%; SCALE_TRIM 적용 후 재시험 필요</t>
  </si>
  <si>
    <t>추가 캡처: 3점 상대 선형성 시험</t>
  </si>
  <si>
    <t>cosmoke_capture_20260820_103337_769201.csv</t>
  </si>
  <si>
    <t>CH1·CH2 3점 상대 선형성</t>
  </si>
  <si>
    <t>99–101</t>
  </si>
  <si>
    <t>0 V / 약 5 V / 약 10 V</t>
  </si>
  <si>
    <t>PASS (상대 선형성)</t>
  </si>
  <si>
    <t>50%FS 최대 편차 0.2803% (기준 1%). 절대 전압·전류 기준값은 현장 검증 이관.</t>
  </si>
  <si>
    <t>열화상 참고 관찰: 양 채널 11 V / 5 A 부하 시험 말기</t>
  </si>
  <si>
    <t>증빙 이미지</t>
  </si>
  <si>
    <t>시험 조건</t>
  </si>
  <si>
    <t>표시 최대 (°C)</t>
  </si>
  <si>
    <t>중앙 측정점 (°C)</t>
  </si>
  <si>
    <t>표시 하한/주변 (°C)</t>
  </si>
  <si>
    <t>카메라 설정</t>
  </si>
  <si>
    <t>판정 / 해석</t>
  </si>
  <si>
    <t>발열1.jpg</t>
  </si>
  <si>
    <t>CH1+CH2 11 V / 5 A, 시험 말기</t>
  </si>
  <si>
    <t>Emissivity 0.95</t>
  </si>
  <si>
    <t>국부 최고점 41.0°C 관찰; 부품 위치 미확정</t>
  </si>
  <si>
    <t>발열2.jpg</t>
  </si>
  <si>
    <t>국부 최고점 42.9°C 관찰; 과열 징후 없음</t>
  </si>
  <si>
    <t>발열3.jpg</t>
  </si>
  <si>
    <t>국부 최고점 42.9°C 관찰; 정격 판정용이 아닌 참고 자료</t>
  </si>
  <si>
    <r>
      <rPr>
        <b/>
        <sz val="17"/>
        <color rgb="FFFFFFFF"/>
        <rFont val="맑은 고딕"/>
        <family val="3"/>
        <charset val="129"/>
      </rPr>
      <t>펌웨어</t>
    </r>
    <r>
      <rPr>
        <b/>
        <sz val="17"/>
        <color rgb="FFFFFFFF"/>
        <rFont val="Aptos Display"/>
        <family val="2"/>
      </rPr>
      <t xml:space="preserve"> </t>
    </r>
    <r>
      <rPr>
        <b/>
        <sz val="17"/>
        <color rgb="FFFFFFFF"/>
        <rFont val="맑은 고딕"/>
        <family val="3"/>
        <charset val="129"/>
      </rPr>
      <t>성능</t>
    </r>
    <r>
      <rPr>
        <b/>
        <sz val="17"/>
        <color rgb="FFFFFFFF"/>
        <rFont val="Aptos Display"/>
        <family val="2"/>
      </rPr>
      <t xml:space="preserve"> </t>
    </r>
    <r>
      <rPr>
        <b/>
        <sz val="17"/>
        <color rgb="FFFFFFFF"/>
        <rFont val="맑은 고딕"/>
        <family val="3"/>
        <charset val="129"/>
      </rPr>
      <t>시험</t>
    </r>
    <r>
      <rPr>
        <b/>
        <sz val="17"/>
        <color rgb="FFFFFFFF"/>
        <rFont val="Aptos Display"/>
        <family val="2"/>
      </rPr>
      <t xml:space="preserve"> </t>
    </r>
    <r>
      <rPr>
        <b/>
        <sz val="17"/>
        <color rgb="FFFFFFFF"/>
        <rFont val="맑은 고딕"/>
        <family val="3"/>
        <charset val="129"/>
      </rPr>
      <t>기록표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</si>
</sst>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yyyy\-mm\-dd"/>
    <numFmt numFmtId="178" formatCode="0.000"/>
    <numFmt numFmtId="179" formatCode="0.000000"/>
    <numFmt numFmtId="180" formatCode="0.0"/>
  </numFmts>
  <fonts count="24">
    <font>
      <sz val="11"/>
      <name val="Carlito"/>
    </font>
    <font>
      <b/>
      <sz val="16"/>
      <color rgb="FFFFFFFF"/>
      <name val="Carlito"/>
    </font>
    <font>
      <i/>
      <sz val="11"/>
      <color rgb="FF5E6C78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49657A"/>
      <name val="Carlito"/>
    </font>
    <font>
      <b/>
      <sz val="10"/>
      <color rgb="FF1F2937"/>
      <name val="Aptos"/>
      <family val="2"/>
    </font>
    <font>
      <sz val="10"/>
      <color rgb="FF1F2937"/>
      <name val="Aptos"/>
      <family val="2"/>
    </font>
    <font>
      <i/>
      <sz val="10"/>
      <color rgb="FF1F2937"/>
      <name val="Aptos"/>
      <family val="2"/>
    </font>
    <font>
      <b/>
      <sz val="17"/>
      <color rgb="FFFFFFFF"/>
      <name val="Aptos Display"/>
      <family val="2"/>
    </font>
    <font>
      <b/>
      <sz val="11"/>
      <color rgb="FFFFFFFF"/>
      <name val="Aptos Display"/>
      <family val="2"/>
    </font>
    <font>
      <b/>
      <sz val="10"/>
      <color rgb="FF17364D"/>
      <name val="Aptos"/>
      <family val="2"/>
    </font>
    <font>
      <b/>
      <sz val="12"/>
      <color rgb="FF17364D"/>
      <name val="Aptos Display"/>
      <family val="2"/>
    </font>
    <font>
      <b/>
      <sz val="10"/>
      <color rgb="FFFFFFFF"/>
      <name val="Aptos Display"/>
      <family val="2"/>
    </font>
    <font>
      <b/>
      <sz val="16"/>
      <color rgb="FFFFFFFF"/>
      <name val="Aptos Display"/>
      <family val="2"/>
    </font>
    <font>
      <sz val="9"/>
      <color rgb="FF1F2937"/>
      <name val="Aptos"/>
      <family val="2"/>
    </font>
    <font>
      <i/>
      <sz val="9"/>
      <color rgb="FF1F2937"/>
      <name val="Aptos"/>
      <family val="2"/>
    </font>
    <font>
      <b/>
      <sz val="9"/>
      <color rgb="FFFFFFFF"/>
      <name val="Aptos Display"/>
      <family val="2"/>
    </font>
    <font>
      <b/>
      <sz val="9"/>
      <color rgb="FF17364D"/>
      <name val="Aptos"/>
      <family val="2"/>
    </font>
    <font>
      <b/>
      <sz val="10"/>
      <color rgb="FF5B4A00"/>
      <name val="Aptos"/>
      <family val="2"/>
    </font>
    <font>
      <sz val="11"/>
      <name val="Carlito"/>
    </font>
    <font>
      <sz val="8"/>
      <name val="돋움"/>
      <family val="3"/>
      <charset val="129"/>
    </font>
    <font>
      <b/>
      <sz val="17"/>
      <color rgb="FFFFFFFF"/>
      <name val="맑은 고딕"/>
      <family val="3"/>
      <charset val="129"/>
    </font>
    <font>
      <b/>
      <sz val="17"/>
      <color rgb="FFFFFFFF"/>
      <name val="Aptos Display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EAF3FA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123047"/>
      </patternFill>
    </fill>
    <fill>
      <patternFill patternType="solid">
        <fgColor rgb="FFEAF3FA"/>
      </patternFill>
    </fill>
    <fill>
      <patternFill patternType="solid">
        <fgColor rgb="FF0F766E"/>
      </patternFill>
    </fill>
    <fill>
      <patternFill patternType="solid">
        <fgColor rgb="FFFFF7D6"/>
      </patternFill>
    </fill>
    <fill>
      <patternFill patternType="solid">
        <fgColor rgb="FF17364D"/>
      </patternFill>
    </fill>
    <fill>
      <patternFill patternType="solid">
        <fgColor rgb="FFEAF4FB"/>
      </patternFill>
    </fill>
    <fill>
      <patternFill patternType="solid">
        <fgColor rgb="FFFDE2E2"/>
      </patternFill>
    </fill>
    <fill>
      <patternFill patternType="solid">
        <fgColor rgb="FFDDF3E4"/>
      </patternFill>
    </fill>
    <fill>
      <patternFill patternType="solid">
        <fgColor rgb="FFFFF7D6"/>
      </patternFill>
    </fill>
    <fill>
      <patternFill patternType="solid">
        <fgColor rgb="FF0F766E"/>
      </patternFill>
    </fill>
    <fill>
      <patternFill patternType="solid">
        <fgColor rgb="FFEAF4F5"/>
      </patternFill>
    </fill>
  </fills>
  <borders count="5">
    <border>
      <left/>
      <right/>
      <top/>
      <bottom/>
      <diagonal/>
    </border>
    <border>
      <left style="thin">
        <color rgb="FFD4DEE7"/>
      </left>
      <right style="thin">
        <color rgb="FFD4DEE7"/>
      </right>
      <top style="thin">
        <color rgb="FFD4DEE7"/>
      </top>
      <bottom style="thin">
        <color rgb="FFD4DEE7"/>
      </bottom>
      <diagonal/>
    </border>
    <border>
      <left/>
      <right/>
      <top/>
      <bottom style="thin">
        <color rgb="FFD4DEE7"/>
      </bottom>
      <diagonal/>
    </border>
    <border>
      <left style="thin">
        <color rgb="FFD5E1EA"/>
      </left>
      <right style="thin">
        <color rgb="FFD5E1EA"/>
      </right>
      <top style="thin">
        <color rgb="FFD5E1EA"/>
      </top>
      <bottom style="thin">
        <color rgb="FFD5E1E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2">
    <xf numFmtId="0" fontId="0" fillId="0" borderId="0"/>
    <xf numFmtId="0" fontId="20" fillId="0" borderId="0"/>
  </cellStyleXfs>
  <cellXfs count="74">
    <xf numFmtId="0" fontId="0" fillId="0" borderId="0" xfId="0"/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 wrapText="1"/>
    </xf>
    <xf numFmtId="2" fontId="0" fillId="0" borderId="1" xfId="1" applyNumberFormat="1" applyFont="1" applyBorder="1" applyAlignment="1">
      <alignment vertical="center" wrapText="1"/>
    </xf>
    <xf numFmtId="0" fontId="0" fillId="3" borderId="1" xfId="1" applyFont="1" applyFill="1" applyBorder="1" applyAlignment="1">
      <alignment vertical="center"/>
    </xf>
    <xf numFmtId="177" fontId="0" fillId="3" borderId="1" xfId="1" applyNumberFormat="1" applyFont="1" applyFill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178" fontId="0" fillId="3" borderId="1" xfId="1" applyNumberFormat="1" applyFont="1" applyFill="1" applyBorder="1" applyAlignment="1">
      <alignment vertical="center"/>
    </xf>
    <xf numFmtId="0" fontId="4" fillId="7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4" fillId="7" borderId="1" xfId="1" applyFont="1" applyFill="1" applyBorder="1" applyAlignment="1">
      <alignment horizontal="center" vertical="top" wrapText="1"/>
    </xf>
    <xf numFmtId="0" fontId="4" fillId="9" borderId="1" xfId="1" applyFont="1" applyFill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178" fontId="0" fillId="0" borderId="3" xfId="1" applyNumberFormat="1" applyFont="1" applyBorder="1" applyAlignment="1">
      <alignment vertical="top" wrapText="1"/>
    </xf>
    <xf numFmtId="3" fontId="0" fillId="0" borderId="3" xfId="1" applyNumberFormat="1" applyFont="1" applyBorder="1" applyAlignment="1">
      <alignment vertical="top" wrapText="1"/>
    </xf>
    <xf numFmtId="0" fontId="0" fillId="0" borderId="3" xfId="1" applyFont="1" applyBorder="1"/>
    <xf numFmtId="179" fontId="0" fillId="0" borderId="3" xfId="1" applyNumberFormat="1" applyFont="1" applyBorder="1"/>
    <xf numFmtId="0" fontId="3" fillId="10" borderId="0" xfId="1" applyFont="1" applyFill="1" applyAlignment="1">
      <alignment horizontal="center" wrapText="1"/>
    </xf>
    <xf numFmtId="0" fontId="4" fillId="12" borderId="3" xfId="1" applyFont="1" applyFill="1" applyBorder="1" applyAlignment="1">
      <alignment vertical="top" wrapText="1"/>
    </xf>
    <xf numFmtId="0" fontId="4" fillId="13" borderId="3" xfId="1" applyFont="1" applyFill="1" applyBorder="1" applyAlignment="1">
      <alignment vertical="top" wrapText="1"/>
    </xf>
    <xf numFmtId="0" fontId="4" fillId="14" borderId="3" xfId="1" applyFont="1" applyFill="1" applyBorder="1" applyAlignment="1">
      <alignment vertical="top" wrapText="1"/>
    </xf>
    <xf numFmtId="0" fontId="3" fillId="10" borderId="3" xfId="1" applyFont="1" applyFill="1" applyBorder="1"/>
    <xf numFmtId="0" fontId="4" fillId="13" borderId="3" xfId="1" applyFont="1" applyFill="1" applyBorder="1"/>
    <xf numFmtId="0" fontId="7" fillId="0" borderId="0" xfId="1" applyFont="1"/>
    <xf numFmtId="0" fontId="11" fillId="16" borderId="4" xfId="1" applyFont="1" applyFill="1" applyBorder="1"/>
    <xf numFmtId="0" fontId="12" fillId="5" borderId="4" xfId="1" applyFont="1" applyFill="1" applyBorder="1" applyAlignment="1">
      <alignment horizontal="right"/>
    </xf>
    <xf numFmtId="176" fontId="12" fillId="5" borderId="4" xfId="1" applyNumberFormat="1" applyFont="1" applyFill="1" applyBorder="1" applyAlignment="1">
      <alignment horizontal="right"/>
    </xf>
    <xf numFmtId="0" fontId="11" fillId="13" borderId="4" xfId="1" applyFont="1" applyFill="1" applyBorder="1"/>
    <xf numFmtId="0" fontId="12" fillId="13" borderId="4" xfId="1" applyFont="1" applyFill="1" applyBorder="1" applyAlignment="1">
      <alignment horizontal="right"/>
    </xf>
    <xf numFmtId="0" fontId="11" fillId="12" borderId="4" xfId="1" applyFont="1" applyFill="1" applyBorder="1"/>
    <xf numFmtId="0" fontId="12" fillId="12" borderId="4" xfId="1" applyFont="1" applyFill="1" applyBorder="1" applyAlignment="1">
      <alignment horizontal="right"/>
    </xf>
    <xf numFmtId="0" fontId="11" fillId="14" borderId="4" xfId="1" applyFont="1" applyFill="1" applyBorder="1"/>
    <xf numFmtId="0" fontId="12" fillId="14" borderId="4" xfId="1" applyFont="1" applyFill="1" applyBorder="1" applyAlignment="1">
      <alignment horizontal="right"/>
    </xf>
    <xf numFmtId="0" fontId="13" fillId="10" borderId="4" xfId="1" applyFont="1" applyFill="1" applyBorder="1" applyAlignment="1">
      <alignment horizontal="center" vertical="center" wrapText="1"/>
    </xf>
    <xf numFmtId="0" fontId="7" fillId="16" borderId="4" xfId="1" applyFont="1" applyFill="1" applyBorder="1" applyAlignment="1">
      <alignment vertical="center"/>
    </xf>
    <xf numFmtId="0" fontId="7" fillId="0" borderId="4" xfId="1" applyFont="1" applyBorder="1" applyAlignment="1">
      <alignment horizontal="right" vertical="center"/>
    </xf>
    <xf numFmtId="0" fontId="13" fillId="10" borderId="1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vertical="top" wrapText="1"/>
    </xf>
    <xf numFmtId="2" fontId="7" fillId="0" borderId="4" xfId="1" applyNumberFormat="1" applyFont="1" applyBorder="1" applyAlignment="1">
      <alignment vertical="top" wrapText="1"/>
    </xf>
    <xf numFmtId="0" fontId="11" fillId="16" borderId="4" xfId="1" applyFont="1" applyFill="1" applyBorder="1" applyAlignment="1">
      <alignment vertical="top" wrapText="1"/>
    </xf>
    <xf numFmtId="0" fontId="11" fillId="16" borderId="4" xfId="1" applyFont="1" applyFill="1" applyBorder="1" applyAlignment="1">
      <alignment horizontal="center" vertical="top" wrapText="1"/>
    </xf>
    <xf numFmtId="0" fontId="15" fillId="0" borderId="0" xfId="1" applyFont="1"/>
    <xf numFmtId="0" fontId="17" fillId="10" borderId="1" xfId="1" applyFont="1" applyFill="1" applyBorder="1" applyAlignment="1">
      <alignment horizontal="center" vertical="center" wrapText="1"/>
    </xf>
    <xf numFmtId="0" fontId="15" fillId="0" borderId="4" xfId="1" applyFont="1" applyBorder="1" applyAlignment="1">
      <alignment vertical="top" wrapText="1"/>
    </xf>
    <xf numFmtId="177" fontId="15" fillId="3" borderId="4" xfId="1" applyNumberFormat="1" applyFont="1" applyFill="1" applyBorder="1" applyAlignment="1">
      <alignment vertical="top" wrapText="1"/>
    </xf>
    <xf numFmtId="0" fontId="15" fillId="3" borderId="4" xfId="1" applyFont="1" applyFill="1" applyBorder="1" applyAlignment="1">
      <alignment vertical="top" wrapText="1"/>
    </xf>
    <xf numFmtId="178" fontId="15" fillId="0" borderId="4" xfId="1" applyNumberFormat="1" applyFont="1" applyBorder="1" applyAlignment="1">
      <alignment vertical="top" wrapText="1"/>
    </xf>
    <xf numFmtId="0" fontId="18" fillId="16" borderId="4" xfId="1" applyFont="1" applyFill="1" applyBorder="1" applyAlignment="1">
      <alignment horizontal="center" vertical="top" wrapText="1"/>
    </xf>
    <xf numFmtId="178" fontId="15" fillId="0" borderId="4" xfId="1" applyNumberFormat="1" applyFont="1" applyBorder="1" applyAlignment="1">
      <alignment horizontal="right" vertical="top" wrapText="1"/>
    </xf>
    <xf numFmtId="178" fontId="15" fillId="3" borderId="4" xfId="1" applyNumberFormat="1" applyFont="1" applyFill="1" applyBorder="1" applyAlignment="1">
      <alignment horizontal="right" vertical="top" wrapText="1"/>
    </xf>
    <xf numFmtId="0" fontId="15" fillId="0" borderId="4" xfId="1" applyFont="1" applyBorder="1" applyAlignment="1">
      <alignment horizontal="center" vertical="top" wrapText="1"/>
    </xf>
    <xf numFmtId="0" fontId="15" fillId="3" borderId="4" xfId="1" applyFont="1" applyFill="1" applyBorder="1" applyAlignment="1">
      <alignment horizontal="center" vertical="top" wrapText="1"/>
    </xf>
    <xf numFmtId="178" fontId="7" fillId="3" borderId="4" xfId="1" applyNumberFormat="1" applyFont="1" applyFill="1" applyBorder="1" applyAlignment="1">
      <alignment vertical="top" wrapText="1"/>
    </xf>
    <xf numFmtId="0" fontId="19" fillId="14" borderId="4" xfId="1" applyFont="1" applyFill="1" applyBorder="1" applyAlignment="1">
      <alignment vertical="top" wrapText="1"/>
    </xf>
    <xf numFmtId="180" fontId="7" fillId="0" borderId="4" xfId="1" applyNumberFormat="1" applyFont="1" applyBorder="1" applyAlignment="1">
      <alignment horizontal="right" vertical="top" wrapText="1"/>
    </xf>
    <xf numFmtId="0" fontId="9" fillId="2" borderId="0" xfId="1" applyFont="1" applyFill="1" applyAlignment="1">
      <alignment horizontal="left" vertical="center"/>
    </xf>
    <xf numFmtId="0" fontId="8" fillId="3" borderId="0" xfId="1" applyFont="1" applyFill="1" applyAlignment="1">
      <alignment wrapText="1"/>
    </xf>
    <xf numFmtId="0" fontId="10" fillId="4" borderId="0" xfId="1" applyFont="1" applyFill="1" applyAlignment="1">
      <alignment vertical="center"/>
    </xf>
    <xf numFmtId="0" fontId="6" fillId="4" borderId="0" xfId="1" applyFont="1" applyFill="1" applyAlignment="1">
      <alignment vertical="center"/>
    </xf>
    <xf numFmtId="0" fontId="14" fillId="2" borderId="0" xfId="1" applyFont="1" applyFill="1" applyAlignment="1">
      <alignment horizontal="left" vertical="center"/>
    </xf>
    <xf numFmtId="0" fontId="8" fillId="3" borderId="0" xfId="1" applyFont="1" applyFill="1"/>
    <xf numFmtId="0" fontId="16" fillId="3" borderId="0" xfId="1" applyFont="1" applyFill="1"/>
    <xf numFmtId="0" fontId="1" fillId="6" borderId="0" xfId="1" applyFont="1" applyFill="1" applyAlignment="1">
      <alignment horizontal="left" vertical="center"/>
    </xf>
    <xf numFmtId="0" fontId="2" fillId="7" borderId="0" xfId="1" applyFont="1" applyFill="1" applyAlignment="1">
      <alignment vertical="center" wrapText="1"/>
    </xf>
    <xf numFmtId="0" fontId="3" fillId="8" borderId="0" xfId="1" applyFont="1" applyFill="1" applyAlignment="1">
      <alignment vertical="center"/>
    </xf>
    <xf numFmtId="0" fontId="0" fillId="0" borderId="1" xfId="1" applyFont="1" applyBorder="1" applyAlignment="1">
      <alignment vertical="center" wrapText="1"/>
    </xf>
    <xf numFmtId="0" fontId="1" fillId="10" borderId="0" xfId="1" applyFont="1" applyFill="1" applyAlignment="1">
      <alignment horizontal="left" vertical="center"/>
    </xf>
    <xf numFmtId="0" fontId="5" fillId="11" borderId="0" xfId="1" applyFont="1" applyFill="1" applyAlignment="1">
      <alignment wrapText="1"/>
    </xf>
    <xf numFmtId="0" fontId="3" fillId="15" borderId="0" xfId="1" applyFont="1" applyFill="1"/>
    <xf numFmtId="0" fontId="13" fillId="10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vertical="top" wrapText="1"/>
    </xf>
    <xf numFmtId="0" fontId="23" fillId="2" borderId="0" xfId="1" applyFont="1" applyFill="1" applyAlignment="1">
      <alignment horizontal="left" vertical="center"/>
    </xf>
    <xf numFmtId="0" fontId="7" fillId="0" borderId="0" xfId="1" applyFont="1" applyAlignment="1"/>
    <xf numFmtId="0" fontId="7" fillId="0" borderId="2" xfId="1" applyFont="1" applyBorder="1" applyAlignment="1"/>
  </cellXfs>
  <cellStyles count="2">
    <cellStyle name="Normal" xfId="1" xr:uid="{00000000-0005-0000-0000-000000000000}"/>
    <cellStyle name="표준" xfId="0" builtinId="0"/>
  </cellStyles>
  <dxfs count="7">
    <dxf>
      <font>
        <color rgb="FF92400E"/>
      </font>
    </dxf>
    <dxf>
      <font>
        <b/>
        <color rgb="FF991B1B"/>
      </font>
    </dxf>
    <dxf>
      <font>
        <b/>
        <color rgb="FF166534"/>
      </font>
    </dxf>
    <dxf>
      <font>
        <b/>
        <color rgb="FF8A5A00"/>
      </font>
      <fill>
        <patternFill patternType="solid">
          <bgColor rgb="FFFFF1BF"/>
        </patternFill>
      </fill>
    </dxf>
    <dxf>
      <font>
        <b/>
        <color rgb="FF166534"/>
      </font>
      <fill>
        <patternFill patternType="solid">
          <bgColor rgb="FFDDF3E4"/>
        </patternFill>
      </fill>
    </dxf>
    <dxf>
      <font>
        <b/>
        <color rgb="FF991B1B"/>
      </font>
    </dxf>
    <dxf>
      <font>
        <b/>
        <color rgb="FF16653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카테고리별 </a:t>
            </a:r>
            <a:r>
              <a:rPr lang="en-US"/>
              <a:t>PASS / FAIL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</c:v>
          </c:tx>
          <c:invertIfNegative val="1"/>
          <c:cat>
            <c:strRef>
              <c:f>Dashboard!$D$8:$D$12</c:f>
              <c:strCache>
                <c:ptCount val="5"/>
                <c:pt idx="0">
                  <c:v>기능</c:v>
                </c:pt>
                <c:pt idx="1">
                  <c:v>계측 정확도</c:v>
                </c:pt>
                <c:pt idx="2">
                  <c:v>시간 성능</c:v>
                </c:pt>
                <c:pt idx="3">
                  <c:v>통신</c:v>
                </c:pt>
                <c:pt idx="4">
                  <c:v>장시간 안정성</c:v>
                </c:pt>
              </c:strCache>
            </c:strRef>
          </c:cat>
          <c:val>
            <c:numRef>
              <c:f>Dashboard!$E$8:$E$12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2-4A43-85E1-A63CCEAE9324}"/>
            </c:ext>
          </c:extLst>
        </c:ser>
        <c:ser>
          <c:idx val="1"/>
          <c:order val="1"/>
          <c:tx>
            <c:v>FAIL</c:v>
          </c:tx>
          <c:invertIfNegative val="1"/>
          <c:cat>
            <c:strRef>
              <c:f>Dashboard!$D$8:$D$12</c:f>
              <c:strCache>
                <c:ptCount val="5"/>
                <c:pt idx="0">
                  <c:v>기능</c:v>
                </c:pt>
                <c:pt idx="1">
                  <c:v>계측 정확도</c:v>
                </c:pt>
                <c:pt idx="2">
                  <c:v>시간 성능</c:v>
                </c:pt>
                <c:pt idx="3">
                  <c:v>통신</c:v>
                </c:pt>
                <c:pt idx="4">
                  <c:v>장시간 안정성</c:v>
                </c:pt>
              </c:strCache>
            </c:strRef>
          </c:cat>
          <c:val>
            <c:numRef>
              <c:f>Dashboard!$F$8:$F$12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2-4A43-85E1-A63CCEAE9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topLeftCell="A2" workbookViewId="0">
      <selection activeCell="K11" sqref="K11"/>
    </sheetView>
  </sheetViews>
  <sheetFormatPr defaultRowHeight="14"/>
  <cols>
    <col min="1" max="1" width="19" customWidth="1"/>
    <col min="2" max="2" width="14" customWidth="1"/>
    <col min="3" max="3" width="3" customWidth="1"/>
    <col min="4" max="4" width="19" customWidth="1"/>
    <col min="5" max="7" width="13" customWidth="1"/>
    <col min="8" max="10" width="12" customWidth="1"/>
  </cols>
  <sheetData>
    <row r="1" spans="1:10" ht="30" customHeight="1">
      <c r="A1" s="71" t="s">
        <v>354</v>
      </c>
      <c r="B1" s="55" t="s">
        <v>0</v>
      </c>
      <c r="C1" s="55" t="s">
        <v>0</v>
      </c>
      <c r="D1" s="55" t="s">
        <v>0</v>
      </c>
      <c r="E1" s="55" t="s">
        <v>0</v>
      </c>
      <c r="F1" s="55" t="s">
        <v>0</v>
      </c>
      <c r="G1" s="55" t="s">
        <v>0</v>
      </c>
      <c r="H1" s="55" t="s">
        <v>0</v>
      </c>
      <c r="I1" s="55" t="s">
        <v>0</v>
      </c>
      <c r="J1" s="55" t="s">
        <v>0</v>
      </c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28" hidden="1" customHeight="1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</row>
    <row r="4" spans="1:10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22" customHeight="1">
      <c r="A5" s="57" t="s">
        <v>2</v>
      </c>
      <c r="B5" s="57" t="s">
        <v>2</v>
      </c>
      <c r="C5" s="57" t="s">
        <v>2</v>
      </c>
      <c r="D5" s="57" t="s">
        <v>2</v>
      </c>
      <c r="E5" s="57" t="s">
        <v>2</v>
      </c>
      <c r="F5" s="57" t="s">
        <v>2</v>
      </c>
      <c r="G5" s="57" t="s">
        <v>2</v>
      </c>
      <c r="H5" s="57" t="s">
        <v>2</v>
      </c>
      <c r="I5" s="57" t="s">
        <v>2</v>
      </c>
      <c r="J5" s="57" t="s">
        <v>2</v>
      </c>
    </row>
    <row r="6" spans="1:10" ht="22" customHeight="1">
      <c r="A6" s="24" t="s">
        <v>3</v>
      </c>
      <c r="B6" s="25">
        <f>COUNTIF('테스트 결과'!Q6:Q20,"PASS")+COUNTIF('테스트 결과'!Q6:Q20,"FAIL")+COUNTIF('테스트 결과'!Q6:Q20,"INPUT")</f>
        <v>9</v>
      </c>
      <c r="C6" s="23"/>
      <c r="D6" s="58" t="s">
        <v>4</v>
      </c>
      <c r="E6" s="58" t="s">
        <v>4</v>
      </c>
      <c r="F6" s="58" t="s">
        <v>4</v>
      </c>
      <c r="G6" s="58" t="s">
        <v>4</v>
      </c>
      <c r="H6" s="58" t="s">
        <v>4</v>
      </c>
      <c r="I6" s="58" t="s">
        <v>4</v>
      </c>
      <c r="J6" s="58" t="s">
        <v>4</v>
      </c>
    </row>
    <row r="7" spans="1:10" ht="30" customHeight="1">
      <c r="A7" s="27" t="s">
        <v>5</v>
      </c>
      <c r="B7" s="28">
        <f>COUNTIF('테스트 결과'!Q6:Q20,"PASS")</f>
        <v>9</v>
      </c>
      <c r="C7" s="23"/>
      <c r="D7" s="33" t="s">
        <v>6</v>
      </c>
      <c r="E7" s="33" t="s">
        <v>5</v>
      </c>
      <c r="F7" s="33" t="s">
        <v>7</v>
      </c>
      <c r="G7" s="33" t="s">
        <v>8</v>
      </c>
      <c r="H7" s="23"/>
      <c r="I7" s="23"/>
      <c r="J7" s="23"/>
    </row>
    <row r="8" spans="1:10" ht="16">
      <c r="A8" s="29" t="s">
        <v>7</v>
      </c>
      <c r="B8" s="30">
        <f>COUNTIF('테스트 결과'!Q6:Q20,"FAIL")</f>
        <v>0</v>
      </c>
      <c r="C8" s="23"/>
      <c r="D8" s="34" t="s">
        <v>9</v>
      </c>
      <c r="E8" s="35">
        <f>COUNTIFS('테스트 결과'!D6:D20,D8,'테스트 결과'!Q6:Q20,"PASS")</f>
        <v>1</v>
      </c>
      <c r="F8" s="35">
        <f>COUNTIFS('테스트 결과'!D6:D20,D8,'테스트 결과'!Q6:Q20,"FAIL")</f>
        <v>0</v>
      </c>
      <c r="G8" s="35">
        <f>COUNTIFS('테스트 결과'!D6:D20,D8,'테스트 결과'!Q6:Q20,"INPUT")</f>
        <v>0</v>
      </c>
      <c r="H8" s="23"/>
      <c r="I8" s="23"/>
      <c r="J8" s="23"/>
    </row>
    <row r="9" spans="1:10" ht="16">
      <c r="A9" s="31" t="s">
        <v>10</v>
      </c>
      <c r="B9" s="32">
        <f>COUNTIF('테스트 결과'!Q6:Q20,"INPUT")</f>
        <v>0</v>
      </c>
      <c r="C9" s="23"/>
      <c r="D9" s="34" t="s">
        <v>11</v>
      </c>
      <c r="E9" s="35">
        <f>COUNTIFS('테스트 결과'!D7:D21,D9,'테스트 결과'!Q7:Q21,"PASS")</f>
        <v>3</v>
      </c>
      <c r="F9" s="35">
        <f>COUNTIFS('테스트 결과'!D7:D21,D9,'테스트 결과'!Q7:Q21,"FAIL")</f>
        <v>0</v>
      </c>
      <c r="G9" s="35">
        <f>COUNTIFS('테스트 결과'!D7:D21,D9,'테스트 결과'!Q7:Q21,"INPUT")</f>
        <v>0</v>
      </c>
      <c r="H9" s="23"/>
      <c r="I9" s="23"/>
      <c r="J9" s="23"/>
    </row>
    <row r="10" spans="1:10" ht="16">
      <c r="A10" s="24" t="s">
        <v>12</v>
      </c>
      <c r="B10" s="26">
        <f>IF(B6=0,0,B7/B6)</f>
        <v>1</v>
      </c>
      <c r="C10" s="23"/>
      <c r="D10" s="34" t="s">
        <v>13</v>
      </c>
      <c r="E10" s="35">
        <f>COUNTIFS('테스트 결과'!D8:D22,D10,'테스트 결과'!Q8:Q22,"PASS")</f>
        <v>2</v>
      </c>
      <c r="F10" s="35">
        <f>COUNTIFS('테스트 결과'!D8:D22,D10,'테스트 결과'!Q8:Q22,"FAIL")</f>
        <v>0</v>
      </c>
      <c r="G10" s="35">
        <f>COUNTIFS('테스트 결과'!D8:D22,D10,'테스트 결과'!Q8:Q22,"INPUT")</f>
        <v>0</v>
      </c>
      <c r="H10" s="23"/>
      <c r="I10" s="23"/>
      <c r="J10" s="23"/>
    </row>
    <row r="11" spans="1:10">
      <c r="A11" s="23"/>
      <c r="B11" s="23"/>
      <c r="C11" s="23"/>
      <c r="D11" s="34" t="s">
        <v>14</v>
      </c>
      <c r="E11" s="35">
        <f>COUNTIFS('테스트 결과'!D9:D23,D11,'테스트 결과'!Q9:Q23,"PASS")</f>
        <v>2</v>
      </c>
      <c r="F11" s="35">
        <f>COUNTIFS('테스트 결과'!D9:D23,D11,'테스트 결과'!Q9:Q23,"FAIL")</f>
        <v>0</v>
      </c>
      <c r="G11" s="35">
        <f>COUNTIFS('테스트 결과'!D9:D23,D11,'테스트 결과'!Q9:Q23,"INPUT")</f>
        <v>0</v>
      </c>
      <c r="H11" s="23"/>
      <c r="I11" s="23"/>
      <c r="J11" s="23"/>
    </row>
    <row r="12" spans="1:10">
      <c r="A12" s="23"/>
      <c r="B12" s="23"/>
      <c r="C12" s="23"/>
      <c r="D12" s="34" t="s">
        <v>15</v>
      </c>
      <c r="E12" s="35">
        <f>COUNTIFS('테스트 결과'!D10:D24,D12,'테스트 결과'!Q10:Q24,"PASS")</f>
        <v>1</v>
      </c>
      <c r="F12" s="35">
        <f>COUNTIFS('테스트 결과'!D10:D24,D12,'테스트 결과'!Q10:Q24,"FAIL")</f>
        <v>0</v>
      </c>
      <c r="G12" s="35">
        <f>COUNTIFS('테스트 결과'!D10:D24,D12,'테스트 결과'!Q10:Q24,"INPUT")</f>
        <v>0</v>
      </c>
      <c r="H12" s="23"/>
      <c r="I12" s="23"/>
      <c r="J12" s="23"/>
    </row>
    <row r="13" spans="1:10">
      <c r="A13" s="23"/>
      <c r="B13" s="23"/>
      <c r="C13" s="23"/>
      <c r="D13" s="34"/>
      <c r="E13" s="35"/>
      <c r="F13" s="35"/>
      <c r="G13" s="35"/>
      <c r="H13" s="23"/>
      <c r="I13" s="23"/>
      <c r="J13" s="23"/>
    </row>
    <row r="14" spans="1:10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10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spans="1:10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0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0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spans="1:10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spans="1:10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spans="1:10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spans="1:10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0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0" ht="14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</row>
    <row r="32" spans="1:10" ht="22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</row>
    <row r="33" spans="1:10" ht="34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</row>
    <row r="34" spans="1:10" ht="26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</row>
    <row r="35" spans="1:10" ht="26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</row>
  </sheetData>
  <mergeCells count="4">
    <mergeCell ref="A1:J1"/>
    <mergeCell ref="A3:J3"/>
    <mergeCell ref="A5:J5"/>
    <mergeCell ref="D6:J6"/>
  </mergeCells>
  <phoneticPr fontId="21" type="noConversion"/>
  <conditionalFormatting sqref="B7">
    <cfRule type="cellIs" dxfId="6" priority="1" operator="greaterThan">
      <formula>0</formula>
    </cfRule>
  </conditionalFormatting>
  <conditionalFormatting sqref="B8">
    <cfRule type="cellIs" dxfId="5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showGridLines="0" workbookViewId="0">
      <selection activeCell="B21" sqref="B21"/>
    </sheetView>
  </sheetViews>
  <sheetFormatPr defaultRowHeight="14"/>
  <cols>
    <col min="1" max="1" width="10" customWidth="1"/>
    <col min="2" max="2" width="16" customWidth="1"/>
    <col min="3" max="3" width="20" customWidth="1"/>
    <col min="4" max="4" width="23" customWidth="1"/>
    <col min="5" max="5" width="10" customWidth="1"/>
    <col min="6" max="6" width="12" customWidth="1"/>
    <col min="7" max="7" width="10" customWidth="1"/>
    <col min="8" max="8" width="25" customWidth="1"/>
    <col min="9" max="9" width="11" customWidth="1"/>
    <col min="10" max="10" width="32" customWidth="1"/>
  </cols>
  <sheetData>
    <row r="1" spans="1:10" ht="30" customHeight="1">
      <c r="A1" s="59" t="s">
        <v>16</v>
      </c>
      <c r="B1" s="59" t="s">
        <v>16</v>
      </c>
      <c r="C1" s="59" t="s">
        <v>16</v>
      </c>
      <c r="D1" s="59" t="s">
        <v>16</v>
      </c>
      <c r="E1" s="59" t="s">
        <v>16</v>
      </c>
      <c r="F1" s="59" t="s">
        <v>16</v>
      </c>
      <c r="G1" s="59" t="s">
        <v>16</v>
      </c>
      <c r="H1" s="59" t="s">
        <v>16</v>
      </c>
      <c r="I1" s="59" t="s">
        <v>16</v>
      </c>
      <c r="J1" s="59" t="s">
        <v>16</v>
      </c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60" t="s">
        <v>17</v>
      </c>
      <c r="B3" s="60"/>
      <c r="C3" s="60"/>
      <c r="D3" s="60"/>
      <c r="E3" s="60"/>
      <c r="F3" s="60"/>
      <c r="G3" s="60"/>
      <c r="H3" s="60"/>
      <c r="I3" s="60"/>
      <c r="J3" s="60"/>
    </row>
    <row r="4" spans="1:10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30" customHeight="1">
      <c r="A5" s="36" t="s">
        <v>18</v>
      </c>
      <c r="B5" s="36" t="s">
        <v>6</v>
      </c>
      <c r="C5" s="36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36" t="s">
        <v>24</v>
      </c>
      <c r="I5" s="36" t="s">
        <v>25</v>
      </c>
      <c r="J5" s="36" t="s">
        <v>26</v>
      </c>
    </row>
    <row r="6" spans="1:10" ht="34" customHeight="1">
      <c r="A6" s="40" t="s">
        <v>27</v>
      </c>
      <c r="B6" s="37" t="s">
        <v>9</v>
      </c>
      <c r="C6" s="37" t="s">
        <v>28</v>
      </c>
      <c r="D6" s="37" t="s">
        <v>29</v>
      </c>
      <c r="E6" s="37" t="s">
        <v>30</v>
      </c>
      <c r="F6" s="38">
        <v>3</v>
      </c>
      <c r="G6" s="37" t="s">
        <v>31</v>
      </c>
      <c r="H6" s="37" t="s">
        <v>32</v>
      </c>
      <c r="I6" s="37" t="s">
        <v>33</v>
      </c>
      <c r="J6" s="37" t="s">
        <v>34</v>
      </c>
    </row>
    <row r="7" spans="1:10" ht="34" customHeight="1">
      <c r="A7" s="40" t="s">
        <v>35</v>
      </c>
      <c r="B7" s="37" t="s">
        <v>11</v>
      </c>
      <c r="C7" s="37" t="s">
        <v>36</v>
      </c>
      <c r="D7" s="37" t="s">
        <v>37</v>
      </c>
      <c r="E7" s="37" t="s">
        <v>38</v>
      </c>
      <c r="F7" s="38">
        <v>0.2</v>
      </c>
      <c r="G7" s="37" t="s">
        <v>31</v>
      </c>
      <c r="H7" s="37" t="s">
        <v>39</v>
      </c>
      <c r="I7" s="37" t="s">
        <v>33</v>
      </c>
      <c r="J7" s="37" t="s">
        <v>40</v>
      </c>
    </row>
    <row r="8" spans="1:10" ht="34" customHeight="1">
      <c r="A8" s="40" t="s">
        <v>41</v>
      </c>
      <c r="B8" s="37" t="s">
        <v>11</v>
      </c>
      <c r="C8" s="37" t="s">
        <v>42</v>
      </c>
      <c r="D8" s="37" t="s">
        <v>43</v>
      </c>
      <c r="E8" s="37" t="s">
        <v>38</v>
      </c>
      <c r="F8" s="38">
        <v>0.5</v>
      </c>
      <c r="G8" s="37" t="s">
        <v>31</v>
      </c>
      <c r="H8" s="37" t="s">
        <v>44</v>
      </c>
      <c r="I8" s="37" t="s">
        <v>33</v>
      </c>
      <c r="J8" s="37" t="s">
        <v>45</v>
      </c>
    </row>
    <row r="9" spans="1:10" ht="34" customHeight="1">
      <c r="A9" s="40" t="s">
        <v>46</v>
      </c>
      <c r="B9" s="37" t="s">
        <v>11</v>
      </c>
      <c r="C9" s="37" t="s">
        <v>47</v>
      </c>
      <c r="D9" s="37" t="s">
        <v>48</v>
      </c>
      <c r="E9" s="37" t="s">
        <v>38</v>
      </c>
      <c r="F9" s="38">
        <v>1</v>
      </c>
      <c r="G9" s="37" t="s">
        <v>31</v>
      </c>
      <c r="H9" s="37" t="s">
        <v>44</v>
      </c>
      <c r="I9" s="37" t="s">
        <v>49</v>
      </c>
      <c r="J9" s="37" t="s">
        <v>50</v>
      </c>
    </row>
    <row r="10" spans="1:10" ht="34" customHeight="1">
      <c r="A10" s="40" t="s">
        <v>51</v>
      </c>
      <c r="B10" s="37" t="s">
        <v>11</v>
      </c>
      <c r="C10" s="37" t="s">
        <v>52</v>
      </c>
      <c r="D10" s="37" t="s">
        <v>53</v>
      </c>
      <c r="E10" s="37" t="s">
        <v>54</v>
      </c>
      <c r="F10" s="38">
        <v>50</v>
      </c>
      <c r="G10" s="37" t="s">
        <v>31</v>
      </c>
      <c r="H10" s="37" t="s">
        <v>55</v>
      </c>
      <c r="I10" s="37" t="s">
        <v>49</v>
      </c>
      <c r="J10" s="37" t="s">
        <v>56</v>
      </c>
    </row>
    <row r="11" spans="1:10" ht="34" customHeight="1">
      <c r="A11" s="40" t="s">
        <v>57</v>
      </c>
      <c r="B11" s="37" t="s">
        <v>13</v>
      </c>
      <c r="C11" s="37" t="s">
        <v>58</v>
      </c>
      <c r="D11" s="37" t="s">
        <v>59</v>
      </c>
      <c r="E11" s="37" t="s">
        <v>60</v>
      </c>
      <c r="F11" s="38">
        <v>1980</v>
      </c>
      <c r="G11" s="37" t="s">
        <v>61</v>
      </c>
      <c r="H11" s="37" t="s">
        <v>62</v>
      </c>
      <c r="I11" s="37" t="s">
        <v>33</v>
      </c>
      <c r="J11" s="37" t="s">
        <v>63</v>
      </c>
    </row>
    <row r="12" spans="1:10" ht="34" customHeight="1">
      <c r="A12" s="40" t="s">
        <v>64</v>
      </c>
      <c r="B12" s="37" t="s">
        <v>13</v>
      </c>
      <c r="C12" s="37" t="s">
        <v>65</v>
      </c>
      <c r="D12" s="37" t="s">
        <v>66</v>
      </c>
      <c r="E12" s="37" t="s">
        <v>67</v>
      </c>
      <c r="F12" s="38">
        <v>0</v>
      </c>
      <c r="G12" s="37" t="s">
        <v>68</v>
      </c>
      <c r="H12" s="37" t="s">
        <v>69</v>
      </c>
      <c r="I12" s="37" t="s">
        <v>33</v>
      </c>
      <c r="J12" s="37" t="s">
        <v>70</v>
      </c>
    </row>
    <row r="13" spans="1:10" ht="34" customHeight="1">
      <c r="A13" s="40"/>
      <c r="B13" s="37"/>
      <c r="C13" s="37"/>
      <c r="D13" s="37"/>
      <c r="E13" s="37"/>
      <c r="F13" s="38"/>
      <c r="G13" s="37"/>
      <c r="H13" s="37"/>
      <c r="I13" s="37"/>
      <c r="J13" s="37"/>
    </row>
    <row r="14" spans="1:10" ht="34" customHeight="1">
      <c r="A14" s="40" t="s">
        <v>71</v>
      </c>
      <c r="B14" s="37" t="s">
        <v>14</v>
      </c>
      <c r="C14" s="37" t="s">
        <v>72</v>
      </c>
      <c r="D14" s="37" t="s">
        <v>73</v>
      </c>
      <c r="E14" s="37" t="s">
        <v>74</v>
      </c>
      <c r="F14" s="38">
        <v>100</v>
      </c>
      <c r="G14" s="37" t="s">
        <v>68</v>
      </c>
      <c r="H14" s="37" t="s">
        <v>75</v>
      </c>
      <c r="I14" s="37" t="s">
        <v>49</v>
      </c>
      <c r="J14" s="37" t="s">
        <v>76</v>
      </c>
    </row>
    <row r="15" spans="1:10" ht="34" customHeight="1">
      <c r="A15" s="40" t="s">
        <v>77</v>
      </c>
      <c r="B15" s="37" t="s">
        <v>14</v>
      </c>
      <c r="C15" s="37" t="s">
        <v>78</v>
      </c>
      <c r="D15" s="37" t="s">
        <v>79</v>
      </c>
      <c r="E15" s="37" t="s">
        <v>80</v>
      </c>
      <c r="F15" s="38">
        <v>0.1</v>
      </c>
      <c r="G15" s="37" t="s">
        <v>31</v>
      </c>
      <c r="H15" s="37" t="s">
        <v>81</v>
      </c>
      <c r="I15" s="37" t="s">
        <v>49</v>
      </c>
      <c r="J15" s="37" t="s">
        <v>82</v>
      </c>
    </row>
    <row r="16" spans="1:10" ht="34" customHeight="1">
      <c r="A16" s="40" t="s">
        <v>83</v>
      </c>
      <c r="B16" s="37" t="s">
        <v>15</v>
      </c>
      <c r="C16" s="37" t="s">
        <v>84</v>
      </c>
      <c r="D16" s="37" t="s">
        <v>85</v>
      </c>
      <c r="E16" s="37" t="s">
        <v>86</v>
      </c>
      <c r="F16" s="38">
        <v>25</v>
      </c>
      <c r="G16" s="37" t="s">
        <v>61</v>
      </c>
      <c r="H16" s="37" t="s">
        <v>87</v>
      </c>
      <c r="I16" s="37" t="s">
        <v>49</v>
      </c>
      <c r="J16" s="37" t="s">
        <v>88</v>
      </c>
    </row>
    <row r="17" spans="1:10">
      <c r="A17" s="2"/>
      <c r="B17" s="2"/>
      <c r="C17" s="2"/>
      <c r="D17" s="2"/>
      <c r="E17" s="2"/>
      <c r="F17" s="3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3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3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3"/>
      <c r="G20" s="2"/>
      <c r="H20" s="2"/>
      <c r="I20" s="2"/>
      <c r="J20" s="2"/>
    </row>
  </sheetData>
  <mergeCells count="2">
    <mergeCell ref="A1:J1"/>
    <mergeCell ref="A3:J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showGridLines="0" workbookViewId="0">
      <selection sqref="A1:U1"/>
    </sheetView>
  </sheetViews>
  <sheetFormatPr defaultRowHeight="14"/>
  <cols>
    <col min="1" max="1" width="10" customWidth="1"/>
    <col min="2" max="2" width="13" customWidth="1"/>
    <col min="3" max="3" width="22" customWidth="1"/>
    <col min="4" max="4" width="17" customWidth="1"/>
    <col min="5" max="5" width="20" customWidth="1"/>
    <col min="6" max="6" width="19" customWidth="1"/>
    <col min="7" max="7" width="10" customWidth="1"/>
    <col min="8" max="8" width="11" customWidth="1"/>
    <col min="9" max="9" width="9" customWidth="1"/>
    <col min="10" max="10" width="13" customWidth="1"/>
    <col min="11" max="12" width="12" customWidth="1"/>
    <col min="13" max="14" width="13" customWidth="1"/>
    <col min="15" max="15" width="11" customWidth="1"/>
    <col min="16" max="16" width="30" customWidth="1"/>
    <col min="17" max="17" width="11" customWidth="1"/>
    <col min="18" max="18" width="17" customWidth="1"/>
    <col min="19" max="19" width="12" customWidth="1"/>
    <col min="20" max="20" width="38" customWidth="1"/>
    <col min="21" max="21" width="44" customWidth="1"/>
  </cols>
  <sheetData>
    <row r="1" spans="1:21" ht="30" customHeight="1">
      <c r="A1" s="59" t="s">
        <v>89</v>
      </c>
      <c r="B1" s="59" t="s">
        <v>89</v>
      </c>
      <c r="C1" s="59" t="s">
        <v>89</v>
      </c>
      <c r="D1" s="59" t="s">
        <v>89</v>
      </c>
      <c r="E1" s="59" t="s">
        <v>89</v>
      </c>
      <c r="F1" s="59" t="s">
        <v>89</v>
      </c>
      <c r="G1" s="59" t="s">
        <v>89</v>
      </c>
      <c r="H1" s="59" t="s">
        <v>89</v>
      </c>
      <c r="I1" s="59" t="s">
        <v>89</v>
      </c>
      <c r="J1" s="59" t="s">
        <v>89</v>
      </c>
      <c r="K1" s="59" t="s">
        <v>89</v>
      </c>
      <c r="L1" s="59" t="s">
        <v>89</v>
      </c>
      <c r="M1" s="59" t="s">
        <v>89</v>
      </c>
      <c r="N1" s="59" t="s">
        <v>89</v>
      </c>
      <c r="O1" s="59" t="s">
        <v>89</v>
      </c>
      <c r="P1" s="59" t="s">
        <v>89</v>
      </c>
      <c r="Q1" s="59" t="s">
        <v>89</v>
      </c>
      <c r="R1" s="59" t="s">
        <v>89</v>
      </c>
      <c r="S1" s="59" t="s">
        <v>89</v>
      </c>
      <c r="T1" s="59" t="s">
        <v>89</v>
      </c>
      <c r="U1" s="59" t="s">
        <v>89</v>
      </c>
    </row>
    <row r="2" spans="1:2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>
      <c r="A3" s="61" t="s">
        <v>90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4" spans="1:2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21" ht="34" customHeight="1">
      <c r="A5" s="42" t="s">
        <v>18</v>
      </c>
      <c r="B5" s="42" t="s">
        <v>91</v>
      </c>
      <c r="C5" s="42" t="s">
        <v>92</v>
      </c>
      <c r="D5" s="42" t="s">
        <v>6</v>
      </c>
      <c r="E5" s="42" t="s">
        <v>19</v>
      </c>
      <c r="F5" s="42" t="s">
        <v>20</v>
      </c>
      <c r="G5" s="42" t="s">
        <v>21</v>
      </c>
      <c r="H5" s="42" t="s">
        <v>93</v>
      </c>
      <c r="I5" s="42" t="s">
        <v>23</v>
      </c>
      <c r="J5" s="42" t="s">
        <v>94</v>
      </c>
      <c r="K5" s="42" t="s">
        <v>61</v>
      </c>
      <c r="L5" s="42" t="s">
        <v>31</v>
      </c>
      <c r="M5" s="42" t="s">
        <v>95</v>
      </c>
      <c r="N5" s="42" t="s">
        <v>96</v>
      </c>
      <c r="O5" s="42" t="s">
        <v>97</v>
      </c>
      <c r="P5" s="42" t="s">
        <v>98</v>
      </c>
      <c r="Q5" s="42" t="s">
        <v>99</v>
      </c>
      <c r="R5" s="42" t="s">
        <v>100</v>
      </c>
      <c r="S5" s="42" t="s">
        <v>101</v>
      </c>
      <c r="T5" s="42" t="s">
        <v>26</v>
      </c>
      <c r="U5" s="42" t="s">
        <v>102</v>
      </c>
    </row>
    <row r="6" spans="1:21" ht="42" customHeight="1">
      <c r="A6" s="47" t="s">
        <v>27</v>
      </c>
      <c r="B6" s="44">
        <v>46254</v>
      </c>
      <c r="C6" s="45" t="s">
        <v>103</v>
      </c>
      <c r="D6" s="43" t="s">
        <v>9</v>
      </c>
      <c r="E6" s="43" t="s">
        <v>28</v>
      </c>
      <c r="F6" s="43" t="s">
        <v>29</v>
      </c>
      <c r="G6" s="43" t="s">
        <v>30</v>
      </c>
      <c r="H6" s="48">
        <v>3</v>
      </c>
      <c r="I6" s="46" t="s">
        <v>31</v>
      </c>
      <c r="J6" s="49">
        <v>2.3119999999999998</v>
      </c>
      <c r="K6" s="49"/>
      <c r="L6" s="49"/>
      <c r="M6" s="49">
        <v>2.3119999999999998</v>
      </c>
      <c r="N6" s="49"/>
      <c r="O6" s="49">
        <v>1</v>
      </c>
      <c r="P6" s="45" t="s">
        <v>104</v>
      </c>
      <c r="Q6" s="50" t="str">
        <f>IF(OR(H6="",I6="",J6=""),"INPUT",IF(I6="최대",IF(J6&lt;=H6,"PASS","FAIL"),IF(I6="최소",IF(J6&gt;=H6,"PASS","FAIL"),IF(I6="일치",IF(J6=H6,"PASS","FAIL"),"CHECK"))))</f>
        <v>PASS</v>
      </c>
      <c r="R6" s="51" t="s">
        <v>105</v>
      </c>
      <c r="S6" s="45" t="s">
        <v>106</v>
      </c>
      <c r="T6" s="45" t="s">
        <v>107</v>
      </c>
      <c r="U6" s="45" t="s">
        <v>108</v>
      </c>
    </row>
    <row r="7" spans="1:21" ht="42" customHeight="1">
      <c r="A7" s="47" t="s">
        <v>35</v>
      </c>
      <c r="B7" s="44">
        <v>46254</v>
      </c>
      <c r="C7" s="45" t="s">
        <v>103</v>
      </c>
      <c r="D7" s="43" t="s">
        <v>11</v>
      </c>
      <c r="E7" s="43" t="s">
        <v>109</v>
      </c>
      <c r="F7" s="43" t="s">
        <v>110</v>
      </c>
      <c r="G7" s="43" t="s">
        <v>38</v>
      </c>
      <c r="H7" s="48">
        <v>0.2</v>
      </c>
      <c r="I7" s="46" t="s">
        <v>31</v>
      </c>
      <c r="J7" s="49">
        <v>4.1553E-2</v>
      </c>
      <c r="K7" s="49">
        <v>4.6940000000000003E-3</v>
      </c>
      <c r="L7" s="49">
        <v>4.1553E-2</v>
      </c>
      <c r="M7" s="49">
        <v>2.3963000000000002E-2</v>
      </c>
      <c r="N7" s="49">
        <v>1.4999999999999999E-2</v>
      </c>
      <c r="O7" s="49">
        <v>3001</v>
      </c>
      <c r="P7" s="45" t="s">
        <v>111</v>
      </c>
      <c r="Q7" s="50" t="str">
        <f>IF(OR(H7="",I7="",J7=""),"INPUT",IF(I7="최대",IF(J7&lt;=H7,"PASS","FAIL"),IF(I7="최소",IF(J7&gt;=H7,"PASS","FAIL"),IF(I7="일치",IF(J7=H7,"PASS","FAIL"),"CHECK"))))</f>
        <v>PASS</v>
      </c>
      <c r="R7" s="51" t="s">
        <v>105</v>
      </c>
      <c r="S7" s="45" t="s">
        <v>106</v>
      </c>
      <c r="T7" s="45" t="s">
        <v>112</v>
      </c>
      <c r="U7" s="45" t="s">
        <v>108</v>
      </c>
    </row>
    <row r="8" spans="1:21" ht="42" customHeight="1">
      <c r="A8" s="47" t="s">
        <v>41</v>
      </c>
      <c r="B8" s="44">
        <v>46254</v>
      </c>
      <c r="C8" s="45" t="s">
        <v>113</v>
      </c>
      <c r="D8" s="43" t="s">
        <v>11</v>
      </c>
      <c r="E8" s="43" t="s">
        <v>114</v>
      </c>
      <c r="F8" s="43" t="s">
        <v>115</v>
      </c>
      <c r="G8" s="43" t="s">
        <v>38</v>
      </c>
      <c r="H8" s="48">
        <v>0.5</v>
      </c>
      <c r="I8" s="46" t="s">
        <v>31</v>
      </c>
      <c r="J8" s="49">
        <v>10.4435</v>
      </c>
      <c r="K8" s="49">
        <v>3.3201999999999998</v>
      </c>
      <c r="L8" s="49">
        <v>10.4435</v>
      </c>
      <c r="M8" s="49">
        <v>7.3837000000000002</v>
      </c>
      <c r="N8" s="49">
        <v>3.1949999999999998</v>
      </c>
      <c r="O8" s="49">
        <v>16577</v>
      </c>
      <c r="P8" s="45" t="s">
        <v>116</v>
      </c>
      <c r="Q8" s="50" t="str">
        <f>"FIELD"</f>
        <v>FIELD</v>
      </c>
      <c r="R8" s="51" t="s">
        <v>117</v>
      </c>
      <c r="S8" s="45" t="s">
        <v>106</v>
      </c>
      <c r="T8" s="45" t="s">
        <v>118</v>
      </c>
      <c r="U8" s="45" t="s">
        <v>119</v>
      </c>
    </row>
    <row r="9" spans="1:21" ht="42" customHeight="1">
      <c r="A9" s="47" t="s">
        <v>46</v>
      </c>
      <c r="B9" s="44">
        <v>46254</v>
      </c>
      <c r="C9" s="45" t="s">
        <v>120</v>
      </c>
      <c r="D9" s="43" t="s">
        <v>11</v>
      </c>
      <c r="E9" s="43" t="s">
        <v>121</v>
      </c>
      <c r="F9" s="43" t="s">
        <v>48</v>
      </c>
      <c r="G9" s="43" t="s">
        <v>38</v>
      </c>
      <c r="H9" s="48">
        <v>1</v>
      </c>
      <c r="I9" s="46" t="s">
        <v>31</v>
      </c>
      <c r="J9" s="49">
        <v>0.28029999999999999</v>
      </c>
      <c r="K9" s="49">
        <v>9.7999999999999997E-3</v>
      </c>
      <c r="L9" s="49">
        <v>0.28029999999999999</v>
      </c>
      <c r="M9" s="49">
        <v>0.14135</v>
      </c>
      <c r="N9" s="49">
        <v>0.1275</v>
      </c>
      <c r="O9" s="49">
        <v>3</v>
      </c>
      <c r="P9" s="45" t="s">
        <v>122</v>
      </c>
      <c r="Q9" s="50" t="str">
        <f>IF(OR(H9="",I9="",J9=""),"INPUT",IF(I9="최대",IF(J9&lt;=H9,"PASS","FAIL"),IF(I9="최소",IF(J9&gt;=H9,"PASS","FAIL"),IF(I9="일치",IF(J9=H9,"PASS","FAIL"),"CHECK"))))</f>
        <v>PASS</v>
      </c>
      <c r="R9" s="51" t="s">
        <v>105</v>
      </c>
      <c r="S9" s="45" t="s">
        <v>106</v>
      </c>
      <c r="T9" s="45" t="s">
        <v>123</v>
      </c>
      <c r="U9" s="45" t="s">
        <v>124</v>
      </c>
    </row>
    <row r="10" spans="1:21" ht="42" customHeight="1">
      <c r="A10" s="47" t="s">
        <v>51</v>
      </c>
      <c r="B10" s="44">
        <v>46254</v>
      </c>
      <c r="C10" s="45" t="s">
        <v>103</v>
      </c>
      <c r="D10" s="43" t="s">
        <v>11</v>
      </c>
      <c r="E10" s="43" t="s">
        <v>125</v>
      </c>
      <c r="F10" s="43" t="s">
        <v>53</v>
      </c>
      <c r="G10" s="43" t="s">
        <v>54</v>
      </c>
      <c r="H10" s="48">
        <v>50</v>
      </c>
      <c r="I10" s="46" t="s">
        <v>31</v>
      </c>
      <c r="J10" s="49">
        <v>18.206</v>
      </c>
      <c r="K10" s="49">
        <v>0.20899999999999999</v>
      </c>
      <c r="L10" s="49">
        <v>18.206</v>
      </c>
      <c r="M10" s="49">
        <v>7.9880000000000004</v>
      </c>
      <c r="N10" s="49">
        <v>7.492</v>
      </c>
      <c r="O10" s="49">
        <v>3001</v>
      </c>
      <c r="P10" s="45" t="s">
        <v>126</v>
      </c>
      <c r="Q10" s="50" t="str">
        <f>IF(OR(H10="",I10="",J10=""),"INPUT",IF(I10="최대",IF(J10&lt;=H10,"PASS","FAIL"),IF(I10="최소",IF(J10&gt;=H10,"PASS","FAIL"),IF(I10="일치",IF(J10=H10,"PASS","FAIL"),"CHECK"))))</f>
        <v>PASS</v>
      </c>
      <c r="R10" s="51" t="s">
        <v>105</v>
      </c>
      <c r="S10" s="45" t="s">
        <v>106</v>
      </c>
      <c r="T10" s="45" t="s">
        <v>127</v>
      </c>
      <c r="U10" s="45" t="s">
        <v>119</v>
      </c>
    </row>
    <row r="11" spans="1:21" ht="42" customHeight="1">
      <c r="A11" s="47" t="s">
        <v>57</v>
      </c>
      <c r="B11" s="44">
        <v>46254</v>
      </c>
      <c r="C11" s="45" t="s">
        <v>103</v>
      </c>
      <c r="D11" s="43" t="s">
        <v>13</v>
      </c>
      <c r="E11" s="43" t="s">
        <v>58</v>
      </c>
      <c r="F11" s="43" t="s">
        <v>59</v>
      </c>
      <c r="G11" s="43" t="s">
        <v>60</v>
      </c>
      <c r="H11" s="48">
        <v>1980</v>
      </c>
      <c r="I11" s="46" t="s">
        <v>61</v>
      </c>
      <c r="J11" s="49">
        <v>1999.931</v>
      </c>
      <c r="K11" s="49"/>
      <c r="L11" s="49"/>
      <c r="M11" s="49">
        <v>1999.931</v>
      </c>
      <c r="N11" s="49"/>
      <c r="O11" s="49">
        <v>16621</v>
      </c>
      <c r="P11" s="45" t="s">
        <v>128</v>
      </c>
      <c r="Q11" s="50" t="str">
        <f>IF(J11&gt;=H11,"PASS","FAIL")</f>
        <v>PASS</v>
      </c>
      <c r="R11" s="51" t="s">
        <v>105</v>
      </c>
      <c r="S11" s="45" t="s">
        <v>106</v>
      </c>
      <c r="T11" s="45" t="s">
        <v>129</v>
      </c>
      <c r="U11" s="45" t="s">
        <v>119</v>
      </c>
    </row>
    <row r="12" spans="1:21" ht="42" customHeight="1">
      <c r="A12" s="47" t="s">
        <v>64</v>
      </c>
      <c r="B12" s="44">
        <v>46254</v>
      </c>
      <c r="C12" s="45" t="s">
        <v>103</v>
      </c>
      <c r="D12" s="43" t="s">
        <v>13</v>
      </c>
      <c r="E12" s="43" t="s">
        <v>65</v>
      </c>
      <c r="F12" s="43" t="s">
        <v>66</v>
      </c>
      <c r="G12" s="43" t="s">
        <v>67</v>
      </c>
      <c r="H12" s="48">
        <v>0</v>
      </c>
      <c r="I12" s="46" t="s">
        <v>68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16621</v>
      </c>
      <c r="P12" s="45" t="s">
        <v>128</v>
      </c>
      <c r="Q12" s="50" t="str">
        <f>IF(J12=0,"PASS","FAIL")</f>
        <v>PASS</v>
      </c>
      <c r="R12" s="51" t="s">
        <v>105</v>
      </c>
      <c r="S12" s="45" t="s">
        <v>106</v>
      </c>
      <c r="T12" s="45" t="s">
        <v>130</v>
      </c>
      <c r="U12" s="45" t="s">
        <v>119</v>
      </c>
    </row>
    <row r="13" spans="1:21" ht="42" customHeight="1">
      <c r="A13" s="47"/>
      <c r="B13" s="44"/>
      <c r="C13" s="45"/>
      <c r="D13" s="43"/>
      <c r="E13" s="43"/>
      <c r="F13" s="43"/>
      <c r="G13" s="43"/>
      <c r="H13" s="48"/>
      <c r="I13" s="46"/>
      <c r="J13" s="49"/>
      <c r="K13" s="49"/>
      <c r="L13" s="49"/>
      <c r="M13" s="49"/>
      <c r="N13" s="49"/>
      <c r="O13" s="49"/>
      <c r="P13" s="45"/>
      <c r="Q13" s="50"/>
      <c r="R13" s="51"/>
      <c r="S13" s="45"/>
      <c r="T13" s="45"/>
      <c r="U13" s="45"/>
    </row>
    <row r="14" spans="1:21" ht="42" customHeight="1">
      <c r="A14" s="47" t="s">
        <v>71</v>
      </c>
      <c r="B14" s="44">
        <v>46254</v>
      </c>
      <c r="C14" s="45" t="s">
        <v>103</v>
      </c>
      <c r="D14" s="43" t="s">
        <v>14</v>
      </c>
      <c r="E14" s="43" t="s">
        <v>72</v>
      </c>
      <c r="F14" s="43" t="s">
        <v>73</v>
      </c>
      <c r="G14" s="43" t="s">
        <v>74</v>
      </c>
      <c r="H14" s="48">
        <v>100</v>
      </c>
      <c r="I14" s="46" t="s">
        <v>68</v>
      </c>
      <c r="J14" s="49">
        <v>99.998999999999995</v>
      </c>
      <c r="K14" s="49">
        <v>0</v>
      </c>
      <c r="L14" s="49">
        <v>218</v>
      </c>
      <c r="M14" s="49">
        <v>99.998999999999995</v>
      </c>
      <c r="N14" s="49">
        <v>1.264</v>
      </c>
      <c r="O14" s="49">
        <v>16620</v>
      </c>
      <c r="P14" s="45" t="s">
        <v>128</v>
      </c>
      <c r="Q14" s="50" t="str">
        <f>IF(AND(J14&gt;=95,J14&lt;=105),"PASS","FAIL")</f>
        <v>PASS</v>
      </c>
      <c r="R14" s="51" t="s">
        <v>105</v>
      </c>
      <c r="S14" s="45" t="s">
        <v>106</v>
      </c>
      <c r="T14" s="45" t="s">
        <v>131</v>
      </c>
      <c r="U14" s="45" t="s">
        <v>119</v>
      </c>
    </row>
    <row r="15" spans="1:21" ht="42" customHeight="1">
      <c r="A15" s="47" t="s">
        <v>77</v>
      </c>
      <c r="B15" s="44">
        <v>46254</v>
      </c>
      <c r="C15" s="45" t="s">
        <v>103</v>
      </c>
      <c r="D15" s="43" t="s">
        <v>14</v>
      </c>
      <c r="E15" s="43" t="s">
        <v>78</v>
      </c>
      <c r="F15" s="43" t="s">
        <v>79</v>
      </c>
      <c r="G15" s="43" t="s">
        <v>80</v>
      </c>
      <c r="H15" s="48">
        <v>0.1</v>
      </c>
      <c r="I15" s="46" t="s">
        <v>31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16620</v>
      </c>
      <c r="P15" s="45" t="s">
        <v>128</v>
      </c>
      <c r="Q15" s="50" t="str">
        <f>IF(J15&lt;=H15,"PASS","FAIL")</f>
        <v>PASS</v>
      </c>
      <c r="R15" s="51" t="s">
        <v>105</v>
      </c>
      <c r="S15" s="45" t="s">
        <v>106</v>
      </c>
      <c r="T15" s="45" t="s">
        <v>132</v>
      </c>
      <c r="U15" s="45" t="s">
        <v>119</v>
      </c>
    </row>
    <row r="16" spans="1:21" ht="42" customHeight="1">
      <c r="A16" s="47" t="s">
        <v>83</v>
      </c>
      <c r="B16" s="44">
        <v>46254</v>
      </c>
      <c r="C16" s="45" t="s">
        <v>103</v>
      </c>
      <c r="D16" s="43" t="s">
        <v>15</v>
      </c>
      <c r="E16" s="43" t="s">
        <v>84</v>
      </c>
      <c r="F16" s="43" t="s">
        <v>85</v>
      </c>
      <c r="G16" s="43" t="s">
        <v>86</v>
      </c>
      <c r="H16" s="48">
        <v>25</v>
      </c>
      <c r="I16" s="46" t="s">
        <v>61</v>
      </c>
      <c r="J16" s="49">
        <v>27.7</v>
      </c>
      <c r="K16" s="49">
        <v>27.7</v>
      </c>
      <c r="L16" s="49">
        <v>27.7</v>
      </c>
      <c r="M16" s="49">
        <v>27.7</v>
      </c>
      <c r="N16" s="49"/>
      <c r="O16" s="49">
        <v>16621</v>
      </c>
      <c r="P16" s="45" t="s">
        <v>133</v>
      </c>
      <c r="Q16" s="50" t="str">
        <f>IF(J16&gt;=H16,"PASS","FAIL")</f>
        <v>PASS</v>
      </c>
      <c r="R16" s="51" t="s">
        <v>105</v>
      </c>
      <c r="S16" s="45" t="s">
        <v>106</v>
      </c>
      <c r="T16" s="45" t="s">
        <v>134</v>
      </c>
      <c r="U16" s="45" t="s">
        <v>119</v>
      </c>
    </row>
    <row r="17" spans="1:21">
      <c r="A17" s="1"/>
      <c r="B17" s="5"/>
      <c r="C17" s="4"/>
      <c r="D17" s="1"/>
      <c r="E17" s="1"/>
      <c r="F17" s="1"/>
      <c r="G17" s="1"/>
      <c r="H17" s="6"/>
      <c r="I17" s="6"/>
      <c r="J17" s="7"/>
      <c r="K17" s="7"/>
      <c r="L17" s="7"/>
      <c r="M17" s="7"/>
      <c r="N17" s="7"/>
      <c r="O17" s="7"/>
      <c r="P17" s="4"/>
      <c r="Q17" s="1"/>
      <c r="R17" s="4"/>
      <c r="S17" s="4"/>
      <c r="T17" s="4"/>
      <c r="U17" s="4"/>
    </row>
    <row r="18" spans="1:21">
      <c r="A18" s="1"/>
      <c r="B18" s="5"/>
      <c r="C18" s="4"/>
      <c r="D18" s="1"/>
      <c r="E18" s="1"/>
      <c r="F18" s="1"/>
      <c r="G18" s="1"/>
      <c r="H18" s="6"/>
      <c r="I18" s="6"/>
      <c r="J18" s="7"/>
      <c r="K18" s="7"/>
      <c r="L18" s="7"/>
      <c r="M18" s="7"/>
      <c r="N18" s="7"/>
      <c r="O18" s="7"/>
      <c r="P18" s="4"/>
      <c r="Q18" s="1"/>
      <c r="R18" s="4"/>
      <c r="S18" s="4"/>
      <c r="T18" s="4"/>
      <c r="U18" s="4"/>
    </row>
    <row r="19" spans="1:21">
      <c r="A19" s="1"/>
      <c r="B19" s="5"/>
      <c r="C19" s="4"/>
      <c r="D19" s="1"/>
      <c r="E19" s="1"/>
      <c r="F19" s="1"/>
      <c r="G19" s="1"/>
      <c r="H19" s="6"/>
      <c r="I19" s="6"/>
      <c r="J19" s="7"/>
      <c r="K19" s="7"/>
      <c r="L19" s="7"/>
      <c r="M19" s="7"/>
      <c r="N19" s="7"/>
      <c r="O19" s="7"/>
      <c r="P19" s="4"/>
      <c r="Q19" s="1"/>
      <c r="R19" s="4"/>
      <c r="S19" s="4"/>
      <c r="T19" s="4"/>
      <c r="U19" s="4"/>
    </row>
    <row r="20" spans="1:21">
      <c r="A20" s="1"/>
      <c r="B20" s="5"/>
      <c r="C20" s="4"/>
      <c r="D20" s="1"/>
      <c r="E20" s="1"/>
      <c r="F20" s="1"/>
      <c r="G20" s="1"/>
      <c r="H20" s="6"/>
      <c r="I20" s="6"/>
      <c r="J20" s="7"/>
      <c r="K20" s="7"/>
      <c r="L20" s="7"/>
      <c r="M20" s="7"/>
      <c r="N20" s="7"/>
      <c r="O20" s="7"/>
      <c r="P20" s="4"/>
      <c r="Q20" s="1"/>
      <c r="R20" s="4"/>
      <c r="S20" s="4"/>
      <c r="T20" s="4"/>
      <c r="U20" s="4"/>
    </row>
  </sheetData>
  <mergeCells count="2">
    <mergeCell ref="A1:U1"/>
    <mergeCell ref="A3:U3"/>
  </mergeCells>
  <phoneticPr fontId="21" type="noConversion"/>
  <conditionalFormatting sqref="Q6:Q16">
    <cfRule type="containsText" dxfId="4" priority="4" operator="containsText" text="PASS"/>
    <cfRule type="containsText" dxfId="3" priority="5" operator="containsText" text="FIELD"/>
  </conditionalFormatting>
  <conditionalFormatting sqref="Q6:Q20">
    <cfRule type="containsText" dxfId="2" priority="1" operator="containsText" text="PASS"/>
    <cfRule type="containsText" dxfId="1" priority="2" operator="containsText" text="FAIL"/>
    <cfRule type="containsText" dxfId="0" priority="3" operator="containsText" text="INPUT"/>
  </conditionalFormatting>
  <dataValidations count="2">
    <dataValidation type="list" sqref="R6:R20" xr:uid="{00000000-0002-0000-0200-000000000000}">
      <formula1>"미실행,진행 중,완료,보류"</formula1>
    </dataValidation>
    <dataValidation type="list" sqref="D6:D20" xr:uid="{00000000-0002-0000-0200-000001000000}">
      <formula1>"기능,계측 정확도,시간 성능,통신,복구·안전,장시간 안정성"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>
      <selection sqref="A1:H1"/>
    </sheetView>
  </sheetViews>
  <sheetFormatPr defaultRowHeight="14"/>
  <cols>
    <col min="1" max="1" width="30" customWidth="1"/>
    <col min="2" max="2" width="14" customWidth="1"/>
    <col min="3" max="4" width="15" customWidth="1"/>
    <col min="5" max="5" width="17" customWidth="1"/>
    <col min="6" max="6" width="11" customWidth="1"/>
    <col min="7" max="7" width="43" customWidth="1"/>
    <col min="8" max="8" width="28" customWidth="1"/>
  </cols>
  <sheetData>
    <row r="1" spans="1:8" ht="30" customHeight="1">
      <c r="A1" s="59" t="s">
        <v>135</v>
      </c>
      <c r="B1" s="59" t="s">
        <v>135</v>
      </c>
      <c r="C1" s="59" t="s">
        <v>135</v>
      </c>
      <c r="D1" s="59" t="s">
        <v>135</v>
      </c>
      <c r="E1" s="59" t="s">
        <v>135</v>
      </c>
      <c r="F1" s="59" t="s">
        <v>135</v>
      </c>
      <c r="G1" s="59" t="s">
        <v>135</v>
      </c>
      <c r="H1" s="59" t="s">
        <v>135</v>
      </c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60" t="s">
        <v>136</v>
      </c>
      <c r="B3" s="60"/>
      <c r="C3" s="60"/>
      <c r="D3" s="60"/>
      <c r="E3" s="60"/>
      <c r="F3" s="60"/>
      <c r="G3" s="60"/>
      <c r="H3" s="60"/>
    </row>
    <row r="4" spans="1:8">
      <c r="A4" s="23"/>
      <c r="B4" s="23"/>
      <c r="C4" s="23"/>
      <c r="D4" s="23"/>
      <c r="E4" s="23"/>
      <c r="F4" s="23"/>
      <c r="G4" s="23"/>
      <c r="H4" s="23"/>
    </row>
    <row r="5" spans="1:8" ht="30" customHeight="1">
      <c r="A5" s="36" t="s">
        <v>137</v>
      </c>
      <c r="B5" s="36" t="s">
        <v>138</v>
      </c>
      <c r="C5" s="36" t="s">
        <v>139</v>
      </c>
      <c r="D5" s="36" t="s">
        <v>140</v>
      </c>
      <c r="E5" s="36" t="s">
        <v>141</v>
      </c>
      <c r="F5" s="36" t="s">
        <v>21</v>
      </c>
      <c r="G5" s="36" t="s">
        <v>142</v>
      </c>
      <c r="H5" s="36" t="s">
        <v>143</v>
      </c>
    </row>
    <row r="6" spans="1:8" ht="32" customHeight="1">
      <c r="A6" s="39" t="s">
        <v>144</v>
      </c>
      <c r="B6" s="52">
        <v>0.05</v>
      </c>
      <c r="C6" s="52">
        <v>0.1</v>
      </c>
      <c r="D6" s="52">
        <v>0.05</v>
      </c>
      <c r="E6" s="52">
        <v>0.02</v>
      </c>
      <c r="F6" s="37" t="s">
        <v>145</v>
      </c>
      <c r="G6" s="37" t="s">
        <v>146</v>
      </c>
      <c r="H6" s="37" t="s">
        <v>147</v>
      </c>
    </row>
    <row r="7" spans="1:8" ht="32" customHeight="1">
      <c r="A7" s="39" t="s">
        <v>148</v>
      </c>
      <c r="B7" s="52">
        <v>10</v>
      </c>
      <c r="C7" s="52">
        <v>5</v>
      </c>
      <c r="D7" s="52">
        <v>10</v>
      </c>
      <c r="E7" s="52">
        <v>10</v>
      </c>
      <c r="F7" s="37" t="s">
        <v>74</v>
      </c>
      <c r="G7" s="37" t="s">
        <v>149</v>
      </c>
      <c r="H7" s="37" t="s">
        <v>150</v>
      </c>
    </row>
    <row r="8" spans="1:8" ht="32" customHeight="1">
      <c r="A8" s="39" t="s">
        <v>151</v>
      </c>
      <c r="B8" s="52">
        <v>100</v>
      </c>
      <c r="C8" s="52">
        <v>20</v>
      </c>
      <c r="D8" s="52">
        <v>50</v>
      </c>
      <c r="E8" s="52">
        <v>100</v>
      </c>
      <c r="F8" s="37" t="s">
        <v>74</v>
      </c>
      <c r="G8" s="37" t="s">
        <v>152</v>
      </c>
      <c r="H8" s="37" t="s">
        <v>153</v>
      </c>
    </row>
    <row r="9" spans="1:8" ht="32" customHeight="1">
      <c r="A9" s="39" t="s">
        <v>154</v>
      </c>
      <c r="B9" s="52">
        <v>256</v>
      </c>
      <c r="C9" s="52">
        <v>256</v>
      </c>
      <c r="D9" s="52">
        <v>128</v>
      </c>
      <c r="E9" s="52">
        <v>128</v>
      </c>
      <c r="F9" s="37" t="s">
        <v>155</v>
      </c>
      <c r="G9" s="37" t="s">
        <v>156</v>
      </c>
      <c r="H9" s="37" t="s">
        <v>157</v>
      </c>
    </row>
    <row r="10" spans="1:8" ht="32" customHeight="1">
      <c r="A10" s="39" t="s">
        <v>158</v>
      </c>
      <c r="B10" s="52">
        <v>500</v>
      </c>
      <c r="C10" s="52">
        <v>500</v>
      </c>
      <c r="D10" s="52">
        <v>500</v>
      </c>
      <c r="E10" s="52">
        <v>500</v>
      </c>
      <c r="F10" s="37" t="s">
        <v>74</v>
      </c>
      <c r="G10" s="37" t="s">
        <v>159</v>
      </c>
      <c r="H10" s="37" t="s">
        <v>160</v>
      </c>
    </row>
    <row r="11" spans="1:8" ht="32" customHeight="1">
      <c r="A11" s="39" t="s">
        <v>161</v>
      </c>
      <c r="B11" s="52">
        <v>16</v>
      </c>
      <c r="C11" s="52">
        <v>8</v>
      </c>
      <c r="D11" s="52">
        <v>16</v>
      </c>
      <c r="E11" s="52">
        <v>16</v>
      </c>
      <c r="F11" s="37" t="s">
        <v>67</v>
      </c>
      <c r="G11" s="37" t="s">
        <v>162</v>
      </c>
      <c r="H11" s="37" t="s">
        <v>163</v>
      </c>
    </row>
    <row r="12" spans="1:8" ht="32" customHeight="1">
      <c r="A12" s="39" t="s">
        <v>164</v>
      </c>
      <c r="B12" s="52">
        <v>2000</v>
      </c>
      <c r="C12" s="52">
        <v>3000</v>
      </c>
      <c r="D12" s="52">
        <v>2000</v>
      </c>
      <c r="E12" s="52">
        <v>2000</v>
      </c>
      <c r="F12" s="37" t="s">
        <v>74</v>
      </c>
      <c r="G12" s="37" t="s">
        <v>165</v>
      </c>
      <c r="H12" s="37" t="s">
        <v>166</v>
      </c>
    </row>
  </sheetData>
  <mergeCells count="2">
    <mergeCell ref="A1:H1"/>
    <mergeCell ref="A3:H3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topLeftCell="A6" workbookViewId="0">
      <selection sqref="A1:H1"/>
    </sheetView>
  </sheetViews>
  <sheetFormatPr defaultRowHeight="14"/>
  <cols>
    <col min="1" max="1" width="10" customWidth="1"/>
    <col min="2" max="2" width="18" customWidth="1"/>
    <col min="3" max="3" width="27" customWidth="1"/>
    <col min="4" max="4" width="53" customWidth="1"/>
    <col min="5" max="5" width="42" customWidth="1"/>
    <col min="6" max="6" width="21" customWidth="1"/>
    <col min="7" max="7" width="31" customWidth="1"/>
    <col min="8" max="8" width="27" customWidth="1"/>
  </cols>
  <sheetData>
    <row r="1" spans="1:8" ht="30" customHeight="1">
      <c r="A1" s="62" t="s">
        <v>167</v>
      </c>
      <c r="B1" s="62"/>
      <c r="C1" s="62"/>
      <c r="D1" s="62"/>
      <c r="E1" s="62"/>
      <c r="F1" s="62"/>
      <c r="G1" s="62"/>
      <c r="H1" s="62"/>
    </row>
    <row r="3" spans="1:8" ht="30" customHeight="1">
      <c r="A3" s="63" t="s">
        <v>168</v>
      </c>
      <c r="B3" s="63"/>
      <c r="C3" s="63"/>
      <c r="D3" s="63"/>
      <c r="E3" s="63"/>
      <c r="F3" s="63"/>
      <c r="G3" s="63"/>
      <c r="H3" s="63"/>
    </row>
    <row r="5" spans="1:8" ht="22" customHeight="1">
      <c r="A5" s="64" t="s">
        <v>169</v>
      </c>
      <c r="B5" s="64"/>
      <c r="C5" s="64"/>
      <c r="D5" s="64"/>
      <c r="E5" s="64"/>
      <c r="F5" s="64"/>
      <c r="G5" s="64"/>
      <c r="H5" s="64"/>
    </row>
    <row r="6" spans="1:8" ht="28" customHeight="1">
      <c r="A6" s="8" t="s">
        <v>170</v>
      </c>
      <c r="B6" s="65" t="s">
        <v>171</v>
      </c>
      <c r="C6" s="65"/>
      <c r="D6" s="65"/>
      <c r="E6" s="65"/>
      <c r="F6" s="65"/>
      <c r="G6" s="65"/>
      <c r="H6" s="65"/>
    </row>
    <row r="7" spans="1:8" ht="28" customHeight="1">
      <c r="A7" s="8" t="s">
        <v>172</v>
      </c>
      <c r="B7" s="65" t="s">
        <v>173</v>
      </c>
      <c r="C7" s="65"/>
      <c r="D7" s="65"/>
      <c r="E7" s="65"/>
      <c r="F7" s="65"/>
      <c r="G7" s="65"/>
      <c r="H7" s="65"/>
    </row>
    <row r="8" spans="1:8" ht="28" customHeight="1">
      <c r="A8" s="8" t="s">
        <v>174</v>
      </c>
      <c r="B8" s="65" t="s">
        <v>175</v>
      </c>
      <c r="C8" s="65"/>
      <c r="D8" s="65"/>
      <c r="E8" s="65"/>
      <c r="F8" s="65"/>
      <c r="G8" s="65"/>
      <c r="H8" s="65"/>
    </row>
    <row r="9" spans="1:8" ht="28" customHeight="1">
      <c r="A9" s="8" t="s">
        <v>176</v>
      </c>
      <c r="B9" s="65" t="s">
        <v>177</v>
      </c>
      <c r="C9" s="65"/>
      <c r="D9" s="65"/>
      <c r="E9" s="65"/>
      <c r="F9" s="65"/>
      <c r="G9" s="65"/>
      <c r="H9" s="65"/>
    </row>
    <row r="11" spans="1:8" ht="30" customHeight="1">
      <c r="A11" s="33" t="s">
        <v>18</v>
      </c>
      <c r="B11" s="33" t="s">
        <v>178</v>
      </c>
      <c r="C11" s="33" t="s">
        <v>179</v>
      </c>
      <c r="D11" s="33" t="s">
        <v>180</v>
      </c>
      <c r="E11" s="33" t="s">
        <v>181</v>
      </c>
      <c r="F11" s="33" t="s">
        <v>182</v>
      </c>
      <c r="G11" s="33" t="s">
        <v>183</v>
      </c>
      <c r="H11" s="33" t="s">
        <v>184</v>
      </c>
    </row>
    <row r="12" spans="1:8" ht="58" customHeight="1">
      <c r="A12" s="40" t="s">
        <v>27</v>
      </c>
      <c r="B12" s="37" t="s">
        <v>28</v>
      </c>
      <c r="C12" s="37" t="s">
        <v>32</v>
      </c>
      <c r="D12" s="37" t="s">
        <v>185</v>
      </c>
      <c r="E12" s="37" t="s">
        <v>186</v>
      </c>
      <c r="F12" s="53" t="s">
        <v>187</v>
      </c>
      <c r="G12" s="37" t="s">
        <v>188</v>
      </c>
      <c r="H12" s="37" t="s">
        <v>189</v>
      </c>
    </row>
    <row r="13" spans="1:8" ht="58" customHeight="1">
      <c r="A13" s="40" t="s">
        <v>35</v>
      </c>
      <c r="B13" s="37" t="s">
        <v>36</v>
      </c>
      <c r="C13" s="37" t="s">
        <v>190</v>
      </c>
      <c r="D13" s="37" t="s">
        <v>191</v>
      </c>
      <c r="E13" s="37" t="s">
        <v>192</v>
      </c>
      <c r="F13" s="53" t="s">
        <v>193</v>
      </c>
      <c r="G13" s="37" t="s">
        <v>194</v>
      </c>
      <c r="H13" s="37" t="s">
        <v>195</v>
      </c>
    </row>
    <row r="14" spans="1:8" ht="58" customHeight="1">
      <c r="A14" s="40" t="s">
        <v>41</v>
      </c>
      <c r="B14" s="37" t="s">
        <v>196</v>
      </c>
      <c r="C14" s="37" t="s">
        <v>197</v>
      </c>
      <c r="D14" s="37" t="s">
        <v>198</v>
      </c>
      <c r="E14" s="37" t="s">
        <v>199</v>
      </c>
      <c r="F14" s="53" t="s">
        <v>200</v>
      </c>
      <c r="G14" s="37" t="s">
        <v>201</v>
      </c>
      <c r="H14" s="37" t="s">
        <v>202</v>
      </c>
    </row>
    <row r="15" spans="1:8" ht="58" customHeight="1">
      <c r="A15" s="40" t="s">
        <v>46</v>
      </c>
      <c r="B15" s="37" t="s">
        <v>47</v>
      </c>
      <c r="C15" s="37" t="s">
        <v>203</v>
      </c>
      <c r="D15" s="37" t="s">
        <v>204</v>
      </c>
      <c r="E15" s="37" t="s">
        <v>205</v>
      </c>
      <c r="F15" s="53" t="s">
        <v>206</v>
      </c>
      <c r="G15" s="37" t="s">
        <v>207</v>
      </c>
      <c r="H15" s="37" t="s">
        <v>208</v>
      </c>
    </row>
    <row r="16" spans="1:8" ht="58" customHeight="1">
      <c r="A16" s="40" t="s">
        <v>51</v>
      </c>
      <c r="B16" s="37" t="s">
        <v>52</v>
      </c>
      <c r="C16" s="37" t="s">
        <v>209</v>
      </c>
      <c r="D16" s="37" t="s">
        <v>210</v>
      </c>
      <c r="E16" s="37" t="s">
        <v>211</v>
      </c>
      <c r="F16" s="53" t="s">
        <v>212</v>
      </c>
      <c r="G16" s="37" t="s">
        <v>213</v>
      </c>
      <c r="H16" s="37" t="s">
        <v>214</v>
      </c>
    </row>
    <row r="17" spans="1:8" ht="58" customHeight="1">
      <c r="A17" s="40" t="s">
        <v>57</v>
      </c>
      <c r="B17" s="37" t="s">
        <v>58</v>
      </c>
      <c r="C17" s="37" t="s">
        <v>215</v>
      </c>
      <c r="D17" s="37" t="s">
        <v>216</v>
      </c>
      <c r="E17" s="37" t="s">
        <v>217</v>
      </c>
      <c r="F17" s="53" t="s">
        <v>218</v>
      </c>
      <c r="G17" s="37" t="s">
        <v>219</v>
      </c>
      <c r="H17" s="37" t="s">
        <v>220</v>
      </c>
    </row>
    <row r="18" spans="1:8" ht="58" customHeight="1">
      <c r="A18" s="40" t="s">
        <v>64</v>
      </c>
      <c r="B18" s="37" t="s">
        <v>65</v>
      </c>
      <c r="C18" s="37" t="s">
        <v>221</v>
      </c>
      <c r="D18" s="37" t="s">
        <v>222</v>
      </c>
      <c r="E18" s="37" t="s">
        <v>223</v>
      </c>
      <c r="F18" s="53" t="s">
        <v>224</v>
      </c>
      <c r="G18" s="37" t="s">
        <v>225</v>
      </c>
      <c r="H18" s="37" t="s">
        <v>226</v>
      </c>
    </row>
    <row r="19" spans="1:8" ht="58" customHeight="1">
      <c r="A19" s="40" t="s">
        <v>71</v>
      </c>
      <c r="B19" s="37" t="s">
        <v>72</v>
      </c>
      <c r="C19" s="37" t="s">
        <v>227</v>
      </c>
      <c r="D19" s="37" t="s">
        <v>228</v>
      </c>
      <c r="E19" s="37" t="s">
        <v>229</v>
      </c>
      <c r="F19" s="53" t="s">
        <v>230</v>
      </c>
      <c r="G19" s="37" t="s">
        <v>231</v>
      </c>
      <c r="H19" s="37" t="s">
        <v>232</v>
      </c>
    </row>
    <row r="20" spans="1:8" ht="58" customHeight="1">
      <c r="A20" s="40" t="s">
        <v>77</v>
      </c>
      <c r="B20" s="37" t="s">
        <v>78</v>
      </c>
      <c r="C20" s="37" t="s">
        <v>233</v>
      </c>
      <c r="D20" s="37" t="s">
        <v>234</v>
      </c>
      <c r="E20" s="37" t="s">
        <v>235</v>
      </c>
      <c r="F20" s="53" t="s">
        <v>236</v>
      </c>
      <c r="G20" s="37" t="s">
        <v>237</v>
      </c>
      <c r="H20" s="37" t="s">
        <v>238</v>
      </c>
    </row>
    <row r="21" spans="1:8" ht="58" customHeight="1">
      <c r="A21" s="40" t="s">
        <v>83</v>
      </c>
      <c r="B21" s="37" t="s">
        <v>84</v>
      </c>
      <c r="C21" s="37" t="s">
        <v>239</v>
      </c>
      <c r="D21" s="37" t="s">
        <v>240</v>
      </c>
      <c r="E21" s="37" t="s">
        <v>241</v>
      </c>
      <c r="F21" s="53" t="s">
        <v>242</v>
      </c>
      <c r="G21" s="37" t="s">
        <v>243</v>
      </c>
      <c r="H21" s="37" t="s">
        <v>244</v>
      </c>
    </row>
    <row r="22" spans="1:8" ht="72" customHeight="1">
      <c r="A22" s="10"/>
      <c r="B22" s="9"/>
      <c r="C22" s="9"/>
      <c r="D22" s="9"/>
      <c r="E22" s="9"/>
      <c r="F22" s="11"/>
      <c r="G22" s="9"/>
      <c r="H22" s="9"/>
    </row>
    <row r="23" spans="1:8" ht="72" customHeight="1">
      <c r="A23" s="10"/>
      <c r="B23" s="9"/>
      <c r="C23" s="9"/>
      <c r="D23" s="9"/>
      <c r="E23" s="9"/>
      <c r="F23" s="11"/>
      <c r="G23" s="9"/>
      <c r="H23" s="9"/>
    </row>
    <row r="24" spans="1:8" ht="72" customHeight="1">
      <c r="A24" s="10"/>
      <c r="B24" s="9"/>
      <c r="C24" s="9"/>
      <c r="D24" s="9"/>
      <c r="E24" s="9"/>
      <c r="F24" s="11"/>
      <c r="G24" s="9"/>
      <c r="H24" s="9"/>
    </row>
    <row r="25" spans="1:8" ht="72" customHeight="1">
      <c r="A25" s="10"/>
      <c r="B25" s="9"/>
      <c r="C25" s="9"/>
      <c r="D25" s="9"/>
      <c r="E25" s="9"/>
      <c r="F25" s="11"/>
      <c r="G25" s="9"/>
      <c r="H25" s="9"/>
    </row>
    <row r="26" spans="1:8" ht="72" customHeight="1">
      <c r="A26" s="10"/>
      <c r="B26" s="9"/>
      <c r="C26" s="9"/>
      <c r="D26" s="9"/>
      <c r="E26" s="9"/>
      <c r="F26" s="11"/>
      <c r="G26" s="9"/>
      <c r="H26" s="9"/>
    </row>
  </sheetData>
  <mergeCells count="7">
    <mergeCell ref="B8:H8"/>
    <mergeCell ref="B9:H9"/>
    <mergeCell ref="A1:H1"/>
    <mergeCell ref="A3:H3"/>
    <mergeCell ref="A5:H5"/>
    <mergeCell ref="B6:H6"/>
    <mergeCell ref="B7:H7"/>
  </mergeCells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showGridLines="0" tabSelected="1" workbookViewId="0">
      <selection activeCell="D18" sqref="D18"/>
    </sheetView>
  </sheetViews>
  <sheetFormatPr defaultRowHeight="14"/>
  <cols>
    <col min="1" max="1" width="39" customWidth="1"/>
    <col min="2" max="2" width="23" customWidth="1"/>
    <col min="3" max="3" width="14" customWidth="1"/>
    <col min="4" max="4" width="24" customWidth="1"/>
    <col min="5" max="5" width="15" customWidth="1"/>
    <col min="6" max="6" width="17" customWidth="1"/>
    <col min="7" max="7" width="14" customWidth="1"/>
    <col min="8" max="8" width="10" customWidth="1"/>
    <col min="9" max="10" width="14" customWidth="1"/>
    <col min="11" max="11" width="15" customWidth="1"/>
    <col min="12" max="12" width="12" customWidth="1"/>
    <col min="13" max="13" width="17" customWidth="1"/>
    <col min="14" max="14" width="35" customWidth="1"/>
    <col min="15" max="15" width="16" customWidth="1"/>
    <col min="16" max="16" width="50" customWidth="1"/>
  </cols>
  <sheetData>
    <row r="1" spans="1:16" ht="28" customHeight="1">
      <c r="A1" s="66" t="s">
        <v>245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3" spans="1:16" ht="14.5">
      <c r="A3" s="67" t="s">
        <v>246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5" spans="1:16">
      <c r="A5" s="17" t="s">
        <v>247</v>
      </c>
      <c r="B5" s="17" t="s">
        <v>248</v>
      </c>
      <c r="C5" s="17" t="s">
        <v>249</v>
      </c>
      <c r="D5" s="17" t="s">
        <v>250</v>
      </c>
      <c r="E5" s="17" t="s">
        <v>251</v>
      </c>
      <c r="F5" s="17" t="s">
        <v>252</v>
      </c>
      <c r="G5" s="17" t="s">
        <v>253</v>
      </c>
      <c r="H5" s="17" t="s">
        <v>254</v>
      </c>
      <c r="I5" s="17" t="s">
        <v>255</v>
      </c>
      <c r="J5" s="17" t="s">
        <v>256</v>
      </c>
      <c r="K5" s="17" t="s">
        <v>257</v>
      </c>
      <c r="L5" s="17" t="s">
        <v>258</v>
      </c>
      <c r="M5" s="17" t="s">
        <v>259</v>
      </c>
      <c r="N5" s="17" t="s">
        <v>260</v>
      </c>
      <c r="O5" s="17" t="s">
        <v>261</v>
      </c>
      <c r="P5" s="17" t="s">
        <v>262</v>
      </c>
    </row>
    <row r="6" spans="1:16" ht="48" customHeight="1">
      <c r="A6" s="12" t="s">
        <v>263</v>
      </c>
      <c r="B6" s="12" t="s">
        <v>264</v>
      </c>
      <c r="C6" s="12" t="s">
        <v>265</v>
      </c>
      <c r="D6" s="12" t="s">
        <v>170</v>
      </c>
      <c r="E6" s="12">
        <v>366</v>
      </c>
      <c r="F6" s="13">
        <v>49.573</v>
      </c>
      <c r="G6" s="13">
        <v>38.534999999999997</v>
      </c>
      <c r="H6" s="13">
        <v>0.77700000000000002</v>
      </c>
      <c r="I6" s="13">
        <v>4000</v>
      </c>
      <c r="J6" s="13">
        <v>135.816</v>
      </c>
      <c r="K6" s="12" t="s">
        <v>266</v>
      </c>
      <c r="L6" s="14">
        <v>214883</v>
      </c>
      <c r="M6" s="12" t="s">
        <v>267</v>
      </c>
      <c r="N6" s="12" t="s">
        <v>268</v>
      </c>
      <c r="O6" s="18" t="s">
        <v>7</v>
      </c>
      <c r="P6" s="12" t="s">
        <v>269</v>
      </c>
    </row>
    <row r="7" spans="1:16" ht="48" customHeight="1">
      <c r="A7" s="12" t="s">
        <v>270</v>
      </c>
      <c r="B7" s="12" t="s">
        <v>271</v>
      </c>
      <c r="C7" s="12" t="s">
        <v>272</v>
      </c>
      <c r="D7" s="12" t="s">
        <v>170</v>
      </c>
      <c r="E7" s="12">
        <v>448</v>
      </c>
      <c r="F7" s="13">
        <v>102.878</v>
      </c>
      <c r="G7" s="13">
        <v>45.145000000000003</v>
      </c>
      <c r="H7" s="13">
        <v>0.439</v>
      </c>
      <c r="I7" s="13">
        <v>2000</v>
      </c>
      <c r="J7" s="13">
        <v>230.15</v>
      </c>
      <c r="K7" s="12" t="s">
        <v>273</v>
      </c>
      <c r="L7" s="14">
        <v>0</v>
      </c>
      <c r="M7" s="12" t="s">
        <v>267</v>
      </c>
      <c r="N7" s="12" t="s">
        <v>268</v>
      </c>
      <c r="O7" s="19" t="s">
        <v>274</v>
      </c>
      <c r="P7" s="12" t="s">
        <v>275</v>
      </c>
    </row>
    <row r="8" spans="1:16" ht="48" customHeight="1">
      <c r="A8" s="12" t="s">
        <v>276</v>
      </c>
      <c r="B8" s="12" t="s">
        <v>277</v>
      </c>
      <c r="C8" s="12" t="s">
        <v>278</v>
      </c>
      <c r="D8" s="12" t="s">
        <v>176</v>
      </c>
      <c r="E8" s="12">
        <v>494</v>
      </c>
      <c r="F8" s="13">
        <v>74.590999999999994</v>
      </c>
      <c r="G8" s="13"/>
      <c r="H8" s="13"/>
      <c r="I8" s="13">
        <v>2000</v>
      </c>
      <c r="J8" s="13">
        <v>100</v>
      </c>
      <c r="K8" s="12" t="s">
        <v>279</v>
      </c>
      <c r="L8" s="14">
        <v>39965</v>
      </c>
      <c r="M8" s="12" t="s">
        <v>280</v>
      </c>
      <c r="N8" s="12" t="s">
        <v>281</v>
      </c>
      <c r="O8" s="20" t="s">
        <v>282</v>
      </c>
      <c r="P8" s="12" t="s">
        <v>283</v>
      </c>
    </row>
    <row r="9" spans="1:16" ht="48" customHeight="1">
      <c r="A9" s="12" t="s">
        <v>284</v>
      </c>
      <c r="B9" s="12" t="s">
        <v>285</v>
      </c>
      <c r="C9" s="12" t="s">
        <v>278</v>
      </c>
      <c r="D9" s="12" t="s">
        <v>286</v>
      </c>
      <c r="E9" s="12">
        <v>508</v>
      </c>
      <c r="F9" s="13">
        <v>50.701000000000001</v>
      </c>
      <c r="G9" s="13">
        <v>50.698999999999998</v>
      </c>
      <c r="H9" s="13">
        <v>1</v>
      </c>
      <c r="I9" s="13">
        <v>1999.8820000000001</v>
      </c>
      <c r="J9" s="13">
        <v>100.002</v>
      </c>
      <c r="K9" s="12" t="s">
        <v>287</v>
      </c>
      <c r="L9" s="14">
        <v>0</v>
      </c>
      <c r="M9" s="12" t="s">
        <v>267</v>
      </c>
      <c r="N9" s="12" t="s">
        <v>288</v>
      </c>
      <c r="O9" s="19" t="s">
        <v>289</v>
      </c>
      <c r="P9" s="12" t="s">
        <v>290</v>
      </c>
    </row>
    <row r="10" spans="1:16" ht="48" customHeight="1">
      <c r="A10" s="12" t="s">
        <v>291</v>
      </c>
      <c r="B10" s="12" t="s">
        <v>292</v>
      </c>
      <c r="C10" s="12" t="s">
        <v>103</v>
      </c>
      <c r="D10" s="12" t="s">
        <v>170</v>
      </c>
      <c r="E10" s="12">
        <v>4551</v>
      </c>
      <c r="F10" s="13">
        <v>454.995</v>
      </c>
      <c r="G10" s="13">
        <v>455</v>
      </c>
      <c r="H10" s="13">
        <v>1</v>
      </c>
      <c r="I10" s="13">
        <v>2000</v>
      </c>
      <c r="J10" s="13">
        <v>100</v>
      </c>
      <c r="K10" s="12" t="s">
        <v>279</v>
      </c>
      <c r="L10" s="14">
        <v>0</v>
      </c>
      <c r="M10" s="12" t="s">
        <v>267</v>
      </c>
      <c r="N10" s="12" t="s">
        <v>293</v>
      </c>
      <c r="O10" s="19" t="s">
        <v>5</v>
      </c>
      <c r="P10" s="12" t="s">
        <v>294</v>
      </c>
    </row>
    <row r="11" spans="1:16">
      <c r="A11" s="68" t="s">
        <v>295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21" t="s">
        <v>137</v>
      </c>
      <c r="B12" s="21" t="s">
        <v>138</v>
      </c>
      <c r="C12" s="21" t="s">
        <v>296</v>
      </c>
      <c r="D12" s="21" t="s">
        <v>297</v>
      </c>
    </row>
    <row r="13" spans="1:16">
      <c r="A13" s="15" t="s">
        <v>298</v>
      </c>
      <c r="B13" s="15" t="s">
        <v>299</v>
      </c>
      <c r="C13" s="15" t="s">
        <v>300</v>
      </c>
      <c r="D13" s="22" t="s">
        <v>301</v>
      </c>
    </row>
    <row r="14" spans="1:16">
      <c r="A14" s="15" t="s">
        <v>302</v>
      </c>
      <c r="B14" s="15" t="s">
        <v>303</v>
      </c>
      <c r="C14" s="15" t="s">
        <v>304</v>
      </c>
      <c r="D14" s="22" t="s">
        <v>301</v>
      </c>
    </row>
    <row r="15" spans="1:16">
      <c r="A15" s="15" t="s">
        <v>305</v>
      </c>
      <c r="B15" s="15" t="s">
        <v>170</v>
      </c>
      <c r="C15" s="15" t="s">
        <v>306</v>
      </c>
      <c r="D15" s="22" t="s">
        <v>301</v>
      </c>
    </row>
    <row r="17" spans="1:16">
      <c r="A17" s="68" t="s">
        <v>307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</row>
    <row r="18" spans="1:16">
      <c r="A18" s="21" t="s">
        <v>308</v>
      </c>
      <c r="B18" s="21" t="s">
        <v>309</v>
      </c>
      <c r="C18" s="21" t="s">
        <v>21</v>
      </c>
      <c r="D18" s="21" t="s">
        <v>310</v>
      </c>
      <c r="E18" s="21" t="s">
        <v>311</v>
      </c>
      <c r="F18" s="21" t="s">
        <v>312</v>
      </c>
    </row>
    <row r="19" spans="1:16">
      <c r="A19" s="15" t="s">
        <v>313</v>
      </c>
      <c r="B19" s="15">
        <v>12.465999999999999</v>
      </c>
      <c r="C19" s="15" t="s">
        <v>314</v>
      </c>
      <c r="D19" s="15" t="s">
        <v>315</v>
      </c>
      <c r="E19" s="16">
        <v>-1.2466E-2</v>
      </c>
      <c r="F19" s="15" t="s">
        <v>316</v>
      </c>
    </row>
    <row r="20" spans="1:16">
      <c r="A20" s="15" t="s">
        <v>317</v>
      </c>
      <c r="B20" s="15">
        <v>-11.734</v>
      </c>
      <c r="C20" s="15" t="s">
        <v>318</v>
      </c>
      <c r="D20" s="15" t="s">
        <v>319</v>
      </c>
      <c r="E20" s="16">
        <v>1.1734E-2</v>
      </c>
      <c r="F20" s="15" t="s">
        <v>316</v>
      </c>
    </row>
    <row r="21" spans="1:16">
      <c r="A21" s="15" t="s">
        <v>320</v>
      </c>
      <c r="B21" s="15">
        <v>11.331</v>
      </c>
      <c r="C21" s="15" t="s">
        <v>314</v>
      </c>
      <c r="D21" s="15" t="s">
        <v>321</v>
      </c>
      <c r="E21" s="16">
        <v>-1.1331000000000001E-2</v>
      </c>
      <c r="F21" s="15" t="s">
        <v>316</v>
      </c>
    </row>
    <row r="22" spans="1:16">
      <c r="A22" s="15" t="s">
        <v>322</v>
      </c>
      <c r="B22" s="15">
        <v>29.593</v>
      </c>
      <c r="C22" s="15" t="s">
        <v>318</v>
      </c>
      <c r="D22" s="15" t="s">
        <v>323</v>
      </c>
      <c r="E22" s="16">
        <v>-2.9593000000000001E-2</v>
      </c>
      <c r="F22" s="15" t="s">
        <v>316</v>
      </c>
    </row>
    <row r="24" spans="1:16">
      <c r="A24" s="68" t="s">
        <v>324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</row>
    <row r="25" spans="1:16">
      <c r="A25" s="17" t="s">
        <v>247</v>
      </c>
      <c r="B25" s="17" t="s">
        <v>248</v>
      </c>
      <c r="C25" s="17" t="s">
        <v>249</v>
      </c>
      <c r="D25" s="17" t="s">
        <v>250</v>
      </c>
      <c r="E25" s="17" t="s">
        <v>251</v>
      </c>
      <c r="F25" s="17" t="s">
        <v>252</v>
      </c>
      <c r="G25" s="17" t="s">
        <v>253</v>
      </c>
      <c r="H25" s="17" t="s">
        <v>254</v>
      </c>
      <c r="I25" s="17" t="s">
        <v>255</v>
      </c>
      <c r="J25" s="17" t="s">
        <v>256</v>
      </c>
      <c r="K25" s="17" t="s">
        <v>257</v>
      </c>
      <c r="L25" s="17" t="s">
        <v>258</v>
      </c>
      <c r="M25" s="17" t="s">
        <v>259</v>
      </c>
      <c r="N25" s="17" t="s">
        <v>260</v>
      </c>
      <c r="O25" s="17" t="s">
        <v>261</v>
      </c>
      <c r="P25" s="17" t="s">
        <v>262</v>
      </c>
    </row>
    <row r="26" spans="1:16" ht="52" customHeight="1">
      <c r="A26" s="12" t="s">
        <v>325</v>
      </c>
      <c r="B26" s="12" t="s">
        <v>326</v>
      </c>
      <c r="C26" s="12" t="s">
        <v>113</v>
      </c>
      <c r="D26" s="12" t="s">
        <v>170</v>
      </c>
      <c r="E26" s="12">
        <v>16621</v>
      </c>
      <c r="F26" s="13">
        <v>1661.982</v>
      </c>
      <c r="G26" s="13">
        <v>1662</v>
      </c>
      <c r="H26" s="13">
        <v>1</v>
      </c>
      <c r="I26" s="13">
        <v>1999.931</v>
      </c>
      <c r="J26" s="13">
        <v>99.998999999999995</v>
      </c>
      <c r="K26" s="12" t="s">
        <v>327</v>
      </c>
      <c r="L26" s="14">
        <v>0</v>
      </c>
      <c r="M26" s="12" t="s">
        <v>267</v>
      </c>
      <c r="N26" s="12" t="s">
        <v>328</v>
      </c>
      <c r="O26" s="19" t="s">
        <v>329</v>
      </c>
      <c r="P26" s="12" t="s">
        <v>330</v>
      </c>
    </row>
    <row r="28" spans="1:16">
      <c r="A28" s="68" t="s">
        <v>331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</row>
    <row r="29" spans="1:16">
      <c r="A29" s="17" t="s">
        <v>247</v>
      </c>
      <c r="B29" s="17" t="s">
        <v>248</v>
      </c>
      <c r="C29" s="17" t="s">
        <v>249</v>
      </c>
      <c r="D29" s="17" t="s">
        <v>250</v>
      </c>
      <c r="E29" s="17" t="s">
        <v>251</v>
      </c>
      <c r="F29" s="17" t="s">
        <v>252</v>
      </c>
      <c r="G29" s="17" t="s">
        <v>253</v>
      </c>
      <c r="H29" s="17" t="s">
        <v>254</v>
      </c>
      <c r="I29" s="17" t="s">
        <v>255</v>
      </c>
      <c r="J29" s="17" t="s">
        <v>256</v>
      </c>
      <c r="K29" s="17" t="s">
        <v>257</v>
      </c>
      <c r="L29" s="17" t="s">
        <v>258</v>
      </c>
      <c r="M29" s="17" t="s">
        <v>259</v>
      </c>
      <c r="N29" s="17" t="s">
        <v>260</v>
      </c>
      <c r="O29" s="17" t="s">
        <v>261</v>
      </c>
      <c r="P29" s="17" t="s">
        <v>262</v>
      </c>
    </row>
    <row r="30" spans="1:16" ht="48" customHeight="1">
      <c r="A30" s="12" t="s">
        <v>332</v>
      </c>
      <c r="B30" s="12" t="s">
        <v>333</v>
      </c>
      <c r="C30" s="12" t="s">
        <v>120</v>
      </c>
      <c r="D30" s="12" t="s">
        <v>170</v>
      </c>
      <c r="E30" s="12">
        <v>3135</v>
      </c>
      <c r="F30" s="13">
        <v>313.399</v>
      </c>
      <c r="G30" s="13">
        <v>313.39999999999998</v>
      </c>
      <c r="H30" s="13">
        <v>1</v>
      </c>
      <c r="I30" s="13">
        <v>2000</v>
      </c>
      <c r="J30" s="13">
        <v>100</v>
      </c>
      <c r="K30" s="12" t="s">
        <v>334</v>
      </c>
      <c r="L30" s="14">
        <v>0</v>
      </c>
      <c r="M30" s="12" t="s">
        <v>267</v>
      </c>
      <c r="N30" s="12" t="s">
        <v>335</v>
      </c>
      <c r="O30" s="19" t="s">
        <v>336</v>
      </c>
      <c r="P30" s="12" t="s">
        <v>337</v>
      </c>
    </row>
    <row r="32" spans="1:16">
      <c r="A32" s="68" t="s">
        <v>338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</row>
    <row r="33" spans="1:16" ht="32" customHeight="1">
      <c r="A33" s="33" t="s">
        <v>339</v>
      </c>
      <c r="B33" s="33" t="s">
        <v>340</v>
      </c>
      <c r="C33" s="33" t="s">
        <v>341</v>
      </c>
      <c r="D33" s="33" t="s">
        <v>342</v>
      </c>
      <c r="E33" s="33" t="s">
        <v>343</v>
      </c>
      <c r="F33" s="33" t="s">
        <v>344</v>
      </c>
      <c r="G33" s="69" t="s">
        <v>345</v>
      </c>
      <c r="H33" s="69"/>
      <c r="I33" s="69"/>
      <c r="J33" s="69"/>
      <c r="K33" s="69"/>
      <c r="L33" s="69"/>
      <c r="M33" s="69"/>
      <c r="N33" s="69"/>
      <c r="O33" s="69"/>
      <c r="P33" s="69"/>
    </row>
    <row r="34" spans="1:16" ht="46" customHeight="1">
      <c r="A34" s="39" t="s">
        <v>346</v>
      </c>
      <c r="B34" s="37" t="s">
        <v>347</v>
      </c>
      <c r="C34" s="54">
        <v>41</v>
      </c>
      <c r="D34" s="54">
        <v>33.5</v>
      </c>
      <c r="E34" s="54">
        <v>26.9</v>
      </c>
      <c r="F34" s="37" t="s">
        <v>348</v>
      </c>
      <c r="G34" s="70" t="s">
        <v>349</v>
      </c>
      <c r="H34" s="70"/>
      <c r="I34" s="70"/>
      <c r="J34" s="70"/>
      <c r="K34" s="70"/>
      <c r="L34" s="70"/>
      <c r="M34" s="70"/>
      <c r="N34" s="70"/>
      <c r="O34" s="70"/>
      <c r="P34" s="70"/>
    </row>
    <row r="35" spans="1:16" ht="46" customHeight="1">
      <c r="A35" s="39" t="s">
        <v>350</v>
      </c>
      <c r="B35" s="37" t="s">
        <v>347</v>
      </c>
      <c r="C35" s="54">
        <v>42.9</v>
      </c>
      <c r="D35" s="54">
        <v>37.6</v>
      </c>
      <c r="E35" s="54">
        <v>28.6</v>
      </c>
      <c r="F35" s="37" t="s">
        <v>348</v>
      </c>
      <c r="G35" s="70" t="s">
        <v>351</v>
      </c>
      <c r="H35" s="70"/>
      <c r="I35" s="70"/>
      <c r="J35" s="70"/>
      <c r="K35" s="70"/>
      <c r="L35" s="70"/>
      <c r="M35" s="70"/>
      <c r="N35" s="70"/>
      <c r="O35" s="70"/>
      <c r="P35" s="70"/>
    </row>
    <row r="36" spans="1:16" ht="46" customHeight="1">
      <c r="A36" s="39" t="s">
        <v>352</v>
      </c>
      <c r="B36" s="37" t="s">
        <v>347</v>
      </c>
      <c r="C36" s="54">
        <v>42.9</v>
      </c>
      <c r="D36" s="54">
        <v>34.200000000000003</v>
      </c>
      <c r="E36" s="54">
        <v>27.6</v>
      </c>
      <c r="F36" s="37" t="s">
        <v>348</v>
      </c>
      <c r="G36" s="70" t="s">
        <v>353</v>
      </c>
      <c r="H36" s="70"/>
      <c r="I36" s="70"/>
      <c r="J36" s="70"/>
      <c r="K36" s="70"/>
      <c r="L36" s="70"/>
      <c r="M36" s="70"/>
      <c r="N36" s="70"/>
      <c r="O36" s="70"/>
      <c r="P36" s="70"/>
    </row>
  </sheetData>
  <mergeCells count="11">
    <mergeCell ref="G36:P36"/>
    <mergeCell ref="A28:P28"/>
    <mergeCell ref="A32:P32"/>
    <mergeCell ref="G33:P33"/>
    <mergeCell ref="G34:P34"/>
    <mergeCell ref="G35:P35"/>
    <mergeCell ref="A1:P1"/>
    <mergeCell ref="A3:P3"/>
    <mergeCell ref="A11:P11"/>
    <mergeCell ref="A17:P17"/>
    <mergeCell ref="A24:P2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Dashboard</vt:lpstr>
      <vt:lpstr>테스트 계획</vt:lpstr>
      <vt:lpstr>테스트 결과</vt:lpstr>
      <vt:lpstr>Tuning Profiles</vt:lpstr>
      <vt:lpstr>Test Procedures</vt:lpstr>
      <vt:lpstr>테스트 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J</dc:creator>
  <cp:lastModifiedBy>지명환</cp:lastModifiedBy>
  <dcterms:created xsi:type="dcterms:W3CDTF">2026-08-20T04:54:24Z</dcterms:created>
  <dcterms:modified xsi:type="dcterms:W3CDTF">2026-08-20T04:54:24Z</dcterms:modified>
</cp:coreProperties>
</file>